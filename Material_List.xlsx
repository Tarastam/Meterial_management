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geo-my.sharepoint.com/personal/amorntep_matsarat_yageo_com/Documents/Desktop/Project Management/Material_Management/"/>
    </mc:Choice>
  </mc:AlternateContent>
  <xr:revisionPtr revIDLastSave="52" documentId="8_{B655D8BC-27A1-45E0-95DE-106D38A485F0}" xr6:coauthVersionLast="47" xr6:coauthVersionMax="47" xr10:uidLastSave="{9C0C06F1-908B-4620-A7B7-EE5AF2B57679}"/>
  <bookViews>
    <workbookView xWindow="-110" yWindow="-110" windowWidth="19420" windowHeight="11500" xr2:uid="{7D4271DC-DE12-4CF4-9BB7-5B1F0CCED3D2}"/>
  </bookViews>
  <sheets>
    <sheet name="Sheet1" sheetId="1" r:id="rId1"/>
    <sheet name="Unit Cost" sheetId="2" r:id="rId2"/>
  </sheets>
  <definedNames>
    <definedName name="_xlnm._FilterDatabase" localSheetId="1" hidden="1">'Unit Cost'!$A$1:$F$2707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6" i="1" l="1"/>
  <c r="I22" i="1"/>
  <c r="G189" i="1"/>
  <c r="H189" i="1"/>
  <c r="G75" i="1"/>
  <c r="H75" i="1"/>
  <c r="G76" i="1"/>
  <c r="H76" i="1"/>
  <c r="G77" i="1"/>
  <c r="H77" i="1"/>
  <c r="G78" i="1"/>
  <c r="H78" i="1"/>
  <c r="G99" i="1"/>
  <c r="H99" i="1"/>
  <c r="G68" i="1"/>
  <c r="H68" i="1"/>
  <c r="G107" i="1"/>
  <c r="H107" i="1"/>
  <c r="G28" i="1"/>
  <c r="H28" i="1"/>
  <c r="G100" i="1"/>
  <c r="H100" i="1"/>
  <c r="G108" i="1"/>
  <c r="H108" i="1"/>
  <c r="G2" i="1"/>
  <c r="H2" i="1"/>
  <c r="G3" i="1"/>
  <c r="H3" i="1"/>
  <c r="G4" i="1"/>
  <c r="H4" i="1"/>
  <c r="G55" i="1"/>
  <c r="H55" i="1"/>
  <c r="G48" i="1"/>
  <c r="H48" i="1"/>
  <c r="G54" i="1"/>
  <c r="H54" i="1"/>
  <c r="G193" i="1"/>
  <c r="H193" i="1"/>
  <c r="G70" i="1"/>
  <c r="H70" i="1"/>
  <c r="G46" i="1"/>
  <c r="H46" i="1"/>
  <c r="G32" i="1"/>
  <c r="H32" i="1"/>
  <c r="G82" i="1"/>
  <c r="H82" i="1"/>
  <c r="G85" i="1"/>
  <c r="H85" i="1"/>
  <c r="G65" i="1"/>
  <c r="H65" i="1"/>
  <c r="G5" i="1"/>
  <c r="H5" i="1"/>
  <c r="G36" i="1"/>
  <c r="H36" i="1"/>
  <c r="G45" i="1"/>
  <c r="H45" i="1"/>
  <c r="G27" i="1"/>
  <c r="H27" i="1"/>
  <c r="G34" i="1"/>
  <c r="H34" i="1"/>
  <c r="G47" i="1"/>
  <c r="H47" i="1"/>
  <c r="G33" i="1"/>
  <c r="H33" i="1"/>
  <c r="G39" i="1"/>
  <c r="H39" i="1"/>
  <c r="G41" i="1"/>
  <c r="H41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73" i="1"/>
  <c r="H73" i="1"/>
  <c r="G59" i="1"/>
  <c r="H59" i="1"/>
  <c r="G60" i="1"/>
  <c r="H60" i="1"/>
  <c r="G71" i="1"/>
  <c r="H71" i="1"/>
  <c r="G72" i="1"/>
  <c r="H72" i="1"/>
  <c r="G61" i="1"/>
  <c r="H61" i="1"/>
  <c r="G173" i="1"/>
  <c r="H173" i="1"/>
  <c r="G194" i="1"/>
  <c r="H194" i="1"/>
  <c r="G195" i="1"/>
  <c r="H195" i="1"/>
  <c r="G208" i="1"/>
  <c r="H208" i="1"/>
  <c r="G209" i="1"/>
  <c r="H209" i="1"/>
  <c r="G210" i="1"/>
  <c r="H210" i="1"/>
  <c r="G205" i="1"/>
  <c r="H205" i="1"/>
  <c r="G196" i="1"/>
  <c r="H196" i="1"/>
  <c r="G203" i="1"/>
  <c r="H203" i="1"/>
  <c r="G198" i="1"/>
  <c r="H198" i="1"/>
  <c r="G199" i="1"/>
  <c r="H199" i="1"/>
  <c r="G197" i="1"/>
  <c r="H197" i="1"/>
  <c r="G200" i="1"/>
  <c r="H200" i="1"/>
  <c r="G201" i="1"/>
  <c r="H201" i="1"/>
  <c r="G204" i="1"/>
  <c r="H204" i="1"/>
  <c r="G202" i="1"/>
  <c r="H202" i="1"/>
  <c r="G56" i="1"/>
  <c r="H56" i="1"/>
  <c r="G57" i="1"/>
  <c r="H57" i="1"/>
  <c r="G106" i="1"/>
  <c r="H106" i="1"/>
  <c r="G6" i="1"/>
  <c r="H6" i="1"/>
  <c r="G49" i="1"/>
  <c r="H49" i="1"/>
  <c r="G42" i="1"/>
  <c r="H42" i="1"/>
  <c r="G43" i="1"/>
  <c r="H43" i="1"/>
  <c r="G50" i="1"/>
  <c r="H50" i="1"/>
  <c r="G51" i="1"/>
  <c r="H51" i="1"/>
  <c r="G52" i="1"/>
  <c r="H52" i="1"/>
  <c r="G53" i="1"/>
  <c r="H53" i="1"/>
  <c r="G16" i="1"/>
  <c r="H16" i="1"/>
  <c r="G24" i="1"/>
  <c r="H24" i="1"/>
  <c r="G97" i="1"/>
  <c r="H97" i="1"/>
  <c r="G98" i="1"/>
  <c r="H98" i="1"/>
  <c r="G109" i="1"/>
  <c r="H109" i="1"/>
  <c r="G110" i="1"/>
  <c r="H110" i="1"/>
  <c r="G111" i="1"/>
  <c r="H111" i="1"/>
  <c r="G83" i="1"/>
  <c r="H83" i="1"/>
  <c r="G213" i="1"/>
  <c r="H213" i="1"/>
  <c r="G214" i="1"/>
  <c r="H214" i="1"/>
  <c r="G30" i="1"/>
  <c r="H30" i="1"/>
  <c r="G212" i="1"/>
  <c r="H212" i="1"/>
  <c r="G207" i="1"/>
  <c r="H207" i="1"/>
  <c r="G102" i="1"/>
  <c r="H102" i="1"/>
  <c r="G113" i="1"/>
  <c r="H113" i="1"/>
  <c r="G114" i="1"/>
  <c r="H114" i="1"/>
  <c r="G206" i="1"/>
  <c r="H206" i="1"/>
  <c r="G74" i="1"/>
  <c r="H74" i="1"/>
  <c r="G164" i="1"/>
  <c r="H164" i="1"/>
  <c r="G190" i="1"/>
  <c r="H190" i="1"/>
  <c r="G188" i="1"/>
  <c r="H188" i="1"/>
  <c r="G183" i="1"/>
  <c r="H183" i="1"/>
  <c r="G184" i="1"/>
  <c r="H184" i="1"/>
  <c r="G185" i="1"/>
  <c r="H185" i="1"/>
  <c r="G179" i="1"/>
  <c r="H179" i="1"/>
  <c r="G178" i="1"/>
  <c r="H178" i="1"/>
  <c r="G35" i="1"/>
  <c r="H35" i="1"/>
  <c r="G29" i="1"/>
  <c r="H29" i="1"/>
  <c r="G118" i="1"/>
  <c r="H118" i="1"/>
  <c r="G67" i="1"/>
  <c r="H67" i="1"/>
  <c r="G112" i="1"/>
  <c r="H112" i="1"/>
  <c r="G105" i="1"/>
  <c r="H105" i="1"/>
  <c r="G69" i="1"/>
  <c r="H69" i="1"/>
  <c r="G176" i="1"/>
  <c r="H176" i="1"/>
  <c r="G31" i="1"/>
  <c r="H31" i="1"/>
  <c r="G149" i="1"/>
  <c r="H149" i="1"/>
  <c r="G150" i="1"/>
  <c r="H150" i="1"/>
  <c r="G151" i="1"/>
  <c r="H151" i="1"/>
  <c r="G152" i="1"/>
  <c r="H152" i="1"/>
  <c r="G153" i="1"/>
  <c r="H153" i="1"/>
  <c r="G191" i="1"/>
  <c r="H191" i="1"/>
  <c r="G79" i="1"/>
  <c r="H79" i="1"/>
  <c r="G23" i="1"/>
  <c r="H23" i="1"/>
  <c r="G64" i="1"/>
  <c r="H64" i="1"/>
  <c r="G174" i="1"/>
  <c r="H174" i="1"/>
  <c r="G175" i="1"/>
  <c r="H175" i="1"/>
  <c r="G165" i="1"/>
  <c r="H165" i="1"/>
  <c r="G166" i="1"/>
  <c r="H166" i="1"/>
  <c r="G167" i="1"/>
  <c r="H167" i="1"/>
  <c r="G168" i="1"/>
  <c r="H168" i="1"/>
  <c r="G80" i="1"/>
  <c r="H80" i="1"/>
  <c r="G81" i="1"/>
  <c r="H81" i="1"/>
  <c r="G116" i="1"/>
  <c r="H116" i="1"/>
  <c r="G117" i="1"/>
  <c r="H117" i="1"/>
  <c r="G186" i="1"/>
  <c r="H186" i="1"/>
  <c r="G187" i="1"/>
  <c r="H187" i="1"/>
  <c r="G66" i="1"/>
  <c r="H66" i="1"/>
  <c r="G93" i="1"/>
  <c r="H93" i="1"/>
  <c r="G94" i="1"/>
  <c r="H94" i="1"/>
  <c r="G103" i="1"/>
  <c r="H103" i="1"/>
  <c r="G180" i="1"/>
  <c r="H180" i="1"/>
  <c r="G181" i="1"/>
  <c r="H181" i="1"/>
  <c r="G182" i="1"/>
  <c r="H182" i="1"/>
  <c r="G135" i="1"/>
  <c r="H135" i="1"/>
  <c r="G136" i="1"/>
  <c r="H136" i="1"/>
  <c r="G169" i="1"/>
  <c r="H169" i="1"/>
  <c r="G171" i="1"/>
  <c r="H171" i="1"/>
  <c r="G137" i="1"/>
  <c r="H137" i="1"/>
  <c r="G138" i="1"/>
  <c r="H138" i="1"/>
  <c r="G131" i="1"/>
  <c r="H131" i="1"/>
  <c r="G132" i="1"/>
  <c r="H132" i="1"/>
  <c r="G170" i="1"/>
  <c r="H170" i="1"/>
  <c r="G172" i="1"/>
  <c r="H172" i="1"/>
  <c r="G126" i="1"/>
  <c r="H126" i="1"/>
  <c r="G125" i="1"/>
  <c r="H125" i="1"/>
  <c r="G163" i="1"/>
  <c r="H163" i="1"/>
  <c r="G162" i="1"/>
  <c r="H162" i="1"/>
  <c r="G123" i="1"/>
  <c r="H123" i="1"/>
  <c r="G124" i="1"/>
  <c r="H124" i="1"/>
  <c r="G160" i="1"/>
  <c r="H160" i="1"/>
  <c r="G161" i="1"/>
  <c r="H161" i="1"/>
  <c r="G7" i="1"/>
  <c r="H7" i="1"/>
  <c r="G8" i="1"/>
  <c r="H8" i="1"/>
  <c r="G17" i="1"/>
  <c r="H17" i="1"/>
  <c r="G40" i="1"/>
  <c r="H40" i="1"/>
  <c r="G84" i="1"/>
  <c r="H84" i="1"/>
  <c r="G62" i="1"/>
  <c r="H62" i="1"/>
  <c r="G63" i="1"/>
  <c r="H63" i="1"/>
  <c r="G147" i="1"/>
  <c r="H147" i="1"/>
  <c r="G44" i="1"/>
  <c r="H44" i="1"/>
  <c r="G14" i="1"/>
  <c r="H14" i="1"/>
  <c r="G15" i="1"/>
  <c r="H15" i="1"/>
  <c r="G192" i="1"/>
  <c r="H192" i="1"/>
  <c r="G19" i="1"/>
  <c r="H19" i="1"/>
  <c r="G18" i="1"/>
  <c r="H18" i="1"/>
  <c r="G9" i="1"/>
  <c r="H9" i="1"/>
  <c r="G95" i="1"/>
  <c r="H95" i="1"/>
  <c r="G26" i="1"/>
  <c r="H26" i="1"/>
  <c r="G10" i="1"/>
  <c r="H10" i="1"/>
  <c r="G11" i="1"/>
  <c r="H11" i="1"/>
  <c r="G58" i="1"/>
  <c r="H58" i="1"/>
  <c r="G211" i="1"/>
  <c r="H211" i="1"/>
  <c r="G177" i="1"/>
  <c r="H177" i="1"/>
  <c r="G139" i="1"/>
  <c r="H139" i="1"/>
  <c r="G127" i="1"/>
  <c r="H127" i="1"/>
  <c r="G129" i="1"/>
  <c r="H129" i="1"/>
  <c r="G130" i="1"/>
  <c r="H130" i="1"/>
  <c r="G119" i="1"/>
  <c r="H119" i="1"/>
  <c r="G144" i="1"/>
  <c r="H144" i="1"/>
  <c r="G143" i="1"/>
  <c r="H143" i="1"/>
  <c r="G133" i="1"/>
  <c r="H133" i="1"/>
  <c r="G122" i="1"/>
  <c r="H122" i="1"/>
  <c r="G120" i="1"/>
  <c r="H120" i="1"/>
  <c r="G121" i="1"/>
  <c r="H121" i="1"/>
  <c r="G134" i="1"/>
  <c r="H134" i="1"/>
  <c r="G148" i="1"/>
  <c r="H148" i="1"/>
  <c r="G146" i="1"/>
  <c r="H146" i="1"/>
  <c r="G145" i="1"/>
  <c r="H145" i="1"/>
  <c r="G142" i="1"/>
  <c r="H142" i="1"/>
  <c r="G154" i="1"/>
  <c r="H154" i="1"/>
  <c r="G155" i="1"/>
  <c r="H155" i="1"/>
  <c r="G128" i="1"/>
  <c r="H128" i="1"/>
  <c r="G156" i="1"/>
  <c r="H156" i="1"/>
  <c r="G157" i="1"/>
  <c r="H157" i="1"/>
  <c r="G158" i="1"/>
  <c r="H158" i="1"/>
  <c r="G159" i="1"/>
  <c r="H159" i="1"/>
  <c r="G25" i="1"/>
  <c r="H25" i="1"/>
  <c r="G140" i="1"/>
  <c r="H140" i="1"/>
  <c r="G141" i="1"/>
  <c r="H141" i="1"/>
  <c r="G101" i="1"/>
  <c r="H101" i="1"/>
  <c r="G115" i="1"/>
  <c r="H115" i="1"/>
  <c r="G104" i="1"/>
  <c r="H104" i="1"/>
  <c r="G12" i="1"/>
  <c r="H12" i="1"/>
  <c r="G13" i="1"/>
  <c r="H13" i="1"/>
  <c r="G20" i="1"/>
  <c r="H20" i="1"/>
  <c r="G21" i="1"/>
  <c r="I21" i="1" s="1"/>
  <c r="H21" i="1"/>
  <c r="G22" i="1"/>
  <c r="H22" i="1"/>
  <c r="G96" i="1"/>
  <c r="H96" i="1"/>
  <c r="G37" i="1"/>
  <c r="H37" i="1"/>
  <c r="G38" i="1"/>
  <c r="H38" i="1"/>
  <c r="H215" i="1"/>
  <c r="G215" i="1"/>
  <c r="C38" i="1"/>
  <c r="C37" i="1"/>
  <c r="C96" i="1"/>
  <c r="C22" i="1"/>
  <c r="C21" i="1"/>
  <c r="C20" i="1"/>
  <c r="C13" i="1"/>
  <c r="C12" i="1"/>
  <c r="C104" i="1"/>
  <c r="C115" i="1"/>
  <c r="C101" i="1"/>
  <c r="C141" i="1"/>
  <c r="C140" i="1"/>
  <c r="C25" i="1"/>
  <c r="C159" i="1"/>
  <c r="C158" i="1"/>
  <c r="C157" i="1"/>
  <c r="C156" i="1"/>
  <c r="C128" i="1"/>
  <c r="C155" i="1"/>
  <c r="C154" i="1"/>
  <c r="C142" i="1"/>
  <c r="C145" i="1"/>
  <c r="C146" i="1"/>
  <c r="C148" i="1"/>
  <c r="C134" i="1"/>
  <c r="C121" i="1"/>
  <c r="C120" i="1"/>
  <c r="C122" i="1"/>
  <c r="C133" i="1"/>
  <c r="C143" i="1"/>
  <c r="C144" i="1"/>
  <c r="C119" i="1"/>
  <c r="C130" i="1"/>
  <c r="C129" i="1"/>
  <c r="C127" i="1"/>
  <c r="C139" i="1"/>
  <c r="C177" i="1"/>
  <c r="C211" i="1"/>
  <c r="C58" i="1"/>
  <c r="C11" i="1"/>
  <c r="C10" i="1"/>
  <c r="C26" i="1"/>
  <c r="C95" i="1"/>
  <c r="C9" i="1"/>
  <c r="C18" i="1"/>
  <c r="C19" i="1"/>
  <c r="C192" i="1"/>
  <c r="C15" i="1"/>
  <c r="C14" i="1"/>
  <c r="C44" i="1"/>
  <c r="C147" i="1"/>
  <c r="C63" i="1"/>
  <c r="C62" i="1"/>
  <c r="C84" i="1"/>
  <c r="C40" i="1"/>
  <c r="C17" i="1"/>
  <c r="C8" i="1"/>
  <c r="C7" i="1"/>
  <c r="C161" i="1"/>
  <c r="C160" i="1"/>
  <c r="C124" i="1"/>
  <c r="C123" i="1"/>
  <c r="C162" i="1"/>
  <c r="C163" i="1"/>
  <c r="C125" i="1"/>
  <c r="C126" i="1"/>
  <c r="C172" i="1"/>
  <c r="C170" i="1"/>
  <c r="C132" i="1"/>
  <c r="C131" i="1"/>
  <c r="C138" i="1"/>
  <c r="C137" i="1"/>
  <c r="C171" i="1"/>
  <c r="C169" i="1"/>
  <c r="C136" i="1"/>
  <c r="C135" i="1"/>
  <c r="C182" i="1"/>
  <c r="C181" i="1"/>
  <c r="C180" i="1"/>
  <c r="C103" i="1"/>
  <c r="C94" i="1"/>
  <c r="C93" i="1"/>
  <c r="C66" i="1"/>
  <c r="C187" i="1"/>
  <c r="C186" i="1"/>
  <c r="C117" i="1"/>
  <c r="C116" i="1"/>
  <c r="C81" i="1"/>
  <c r="C80" i="1"/>
  <c r="C168" i="1"/>
  <c r="C167" i="1"/>
  <c r="C166" i="1"/>
  <c r="C165" i="1"/>
  <c r="C175" i="1"/>
  <c r="C174" i="1"/>
  <c r="C64" i="1"/>
  <c r="C23" i="1"/>
  <c r="C79" i="1"/>
  <c r="C191" i="1"/>
  <c r="C153" i="1"/>
  <c r="C152" i="1"/>
  <c r="C151" i="1"/>
  <c r="C150" i="1"/>
  <c r="C149" i="1"/>
  <c r="C31" i="1"/>
  <c r="C176" i="1"/>
  <c r="C69" i="1"/>
  <c r="C105" i="1"/>
  <c r="C112" i="1"/>
  <c r="C67" i="1"/>
  <c r="C118" i="1"/>
  <c r="C29" i="1"/>
  <c r="C35" i="1"/>
  <c r="C178" i="1"/>
  <c r="C179" i="1"/>
  <c r="C185" i="1"/>
  <c r="C184" i="1"/>
  <c r="C183" i="1"/>
  <c r="C188" i="1"/>
  <c r="C190" i="1"/>
  <c r="C164" i="1"/>
  <c r="C74" i="1"/>
  <c r="C206" i="1"/>
  <c r="C114" i="1"/>
  <c r="C113" i="1"/>
  <c r="C102" i="1"/>
  <c r="C207" i="1"/>
  <c r="C212" i="1"/>
  <c r="C30" i="1"/>
  <c r="C214" i="1"/>
  <c r="C213" i="1"/>
  <c r="C83" i="1"/>
  <c r="C111" i="1"/>
  <c r="C110" i="1"/>
  <c r="C109" i="1"/>
  <c r="C98" i="1"/>
  <c r="C97" i="1"/>
  <c r="C24" i="1"/>
  <c r="C16" i="1"/>
  <c r="C53" i="1"/>
  <c r="C52" i="1"/>
  <c r="C51" i="1"/>
  <c r="C50" i="1"/>
  <c r="C43" i="1"/>
  <c r="C42" i="1"/>
  <c r="C49" i="1"/>
  <c r="C6" i="1"/>
  <c r="C106" i="1"/>
  <c r="C57" i="1"/>
  <c r="C56" i="1"/>
  <c r="C202" i="1"/>
  <c r="C204" i="1"/>
  <c r="C201" i="1"/>
  <c r="C200" i="1"/>
  <c r="C197" i="1"/>
  <c r="C199" i="1"/>
  <c r="C198" i="1"/>
  <c r="C203" i="1"/>
  <c r="C196" i="1"/>
  <c r="C205" i="1"/>
  <c r="C210" i="1"/>
  <c r="C209" i="1"/>
  <c r="C208" i="1"/>
  <c r="C195" i="1"/>
  <c r="C194" i="1"/>
  <c r="C173" i="1"/>
  <c r="C61" i="1"/>
  <c r="C72" i="1"/>
  <c r="C71" i="1"/>
  <c r="C60" i="1"/>
  <c r="C59" i="1"/>
  <c r="C73" i="1"/>
  <c r="C92" i="1"/>
  <c r="C91" i="1"/>
  <c r="C90" i="1"/>
  <c r="C89" i="1"/>
  <c r="C88" i="1"/>
  <c r="C87" i="1"/>
  <c r="C86" i="1"/>
  <c r="C41" i="1"/>
  <c r="C39" i="1"/>
  <c r="C33" i="1"/>
  <c r="C47" i="1"/>
  <c r="C34" i="1"/>
  <c r="C27" i="1"/>
  <c r="C45" i="1"/>
  <c r="C36" i="1"/>
  <c r="C5" i="1"/>
  <c r="C65" i="1"/>
  <c r="C85" i="1"/>
  <c r="C82" i="1"/>
  <c r="C32" i="1"/>
  <c r="C46" i="1"/>
  <c r="C70" i="1"/>
  <c r="C193" i="1"/>
  <c r="C54" i="1"/>
  <c r="C48" i="1"/>
  <c r="C55" i="1"/>
  <c r="C4" i="1"/>
  <c r="C3" i="1"/>
  <c r="C2" i="1"/>
  <c r="C108" i="1"/>
  <c r="C100" i="1"/>
  <c r="C28" i="1"/>
  <c r="C107" i="1"/>
  <c r="C68" i="1"/>
  <c r="C99" i="1"/>
  <c r="C78" i="1"/>
  <c r="C77" i="1"/>
  <c r="C76" i="1"/>
  <c r="C75" i="1"/>
  <c r="C189" i="1"/>
  <c r="C215" i="1"/>
</calcChain>
</file>

<file path=xl/sharedStrings.xml><?xml version="1.0" encoding="utf-8"?>
<sst xmlns="http://schemas.openxmlformats.org/spreadsheetml/2006/main" count="6503" uniqueCount="3330">
  <si>
    <t>ProdMaterialCode</t>
  </si>
  <si>
    <t>MaterialCode</t>
  </si>
  <si>
    <t>Column1</t>
  </si>
  <si>
    <t>MaterialName</t>
  </si>
  <si>
    <t>Unit</t>
  </si>
  <si>
    <t>Workshop</t>
  </si>
  <si>
    <t>TA0001</t>
  </si>
  <si>
    <t>L/F  WELDING  ( SKID )</t>
  </si>
  <si>
    <t>PC</t>
  </si>
  <si>
    <t>GPS</t>
  </si>
  <si>
    <t>TA0002</t>
  </si>
  <si>
    <t>2705 GPSP2 8MM X 2000M</t>
  </si>
  <si>
    <t>G</t>
  </si>
  <si>
    <t>TA0003</t>
  </si>
  <si>
    <t>ABRASIVE MM-P220</t>
  </si>
  <si>
    <t>KG</t>
  </si>
  <si>
    <t>PSLA</t>
  </si>
  <si>
    <t>TA0004</t>
  </si>
  <si>
    <t>PSLB</t>
  </si>
  <si>
    <t>TA0005</t>
  </si>
  <si>
    <t>ABRASIVE MM-P80</t>
  </si>
  <si>
    <t>FPSA</t>
  </si>
  <si>
    <t>TA0006</t>
  </si>
  <si>
    <t>FPSB</t>
  </si>
  <si>
    <t>TA0007</t>
  </si>
  <si>
    <t>ACETIC ACID GLACIAL</t>
  </si>
  <si>
    <t>LITER</t>
  </si>
  <si>
    <t>ANODIZE</t>
  </si>
  <si>
    <t>TA0008</t>
  </si>
  <si>
    <t>ACRYBASE - IB30(D)</t>
  </si>
  <si>
    <t>PRESSING</t>
  </si>
  <si>
    <t>TA0009</t>
  </si>
  <si>
    <t>ACTREL 1178 F</t>
  </si>
  <si>
    <t>STAMPING</t>
  </si>
  <si>
    <t>TA0010</t>
  </si>
  <si>
    <t>AFLEX 75N 126NT    ( MIRROR )</t>
  </si>
  <si>
    <t>METER</t>
  </si>
  <si>
    <t>TA0011</t>
  </si>
  <si>
    <t>ALUMINUM SPOOL  ( ST )</t>
  </si>
  <si>
    <t>TA0012</t>
  </si>
  <si>
    <t>AMMONIUM ADIPATE (AA)</t>
  </si>
  <si>
    <t>POLYMER</t>
  </si>
  <si>
    <t>TA0013</t>
  </si>
  <si>
    <t>BUFFER SOLUTION KCI3</t>
  </si>
  <si>
    <t>ML</t>
  </si>
  <si>
    <t>TA0014</t>
  </si>
  <si>
    <t>BUFFER SOLUTION PH 2.00</t>
  </si>
  <si>
    <t>TA0015</t>
  </si>
  <si>
    <t>BUFFER SOLUTION PH 4.01</t>
  </si>
  <si>
    <t>TA0016</t>
  </si>
  <si>
    <t>BUTYL ACETATE</t>
  </si>
  <si>
    <t>TA0017</t>
  </si>
  <si>
    <t>BUTYL CARBITOL</t>
  </si>
  <si>
    <t>TA0018</t>
  </si>
  <si>
    <t>BUTYL GLYCIDIL ETHER</t>
  </si>
  <si>
    <t>TA0019</t>
  </si>
  <si>
    <t>CARBON FACE MASK 4PLY</t>
  </si>
  <si>
    <t>TA0020</t>
  </si>
  <si>
    <t>CHEMICAL CW</t>
  </si>
  <si>
    <t>TA0021</t>
  </si>
  <si>
    <t>CHEMICAL GRP.T-30PLB-UL(BL)</t>
  </si>
  <si>
    <t>TA0022</t>
  </si>
  <si>
    <t>CHEMICAL GRP.TC-8265</t>
  </si>
  <si>
    <t>TA0023</t>
  </si>
  <si>
    <t>CHEMICAL NR</t>
  </si>
  <si>
    <t>TA0024</t>
  </si>
  <si>
    <t>CHEMICAL RH</t>
  </si>
  <si>
    <t>TA0025</t>
  </si>
  <si>
    <t>CHEMICAL TR</t>
  </si>
  <si>
    <t>TA0026</t>
  </si>
  <si>
    <t>CINDOL 4612T</t>
  </si>
  <si>
    <t>TA0027</t>
  </si>
  <si>
    <t>CKV5-D</t>
  </si>
  <si>
    <t>TA0028</t>
  </si>
  <si>
    <t>CLEVIOS  KV2-HV</t>
  </si>
  <si>
    <t>TA0029</t>
  </si>
  <si>
    <t>CLEVIOS K  NANO IL</t>
  </si>
  <si>
    <t>TA0030</t>
  </si>
  <si>
    <t xml:space="preserve">CLEVIOS K NANO IL-62  </t>
  </si>
  <si>
    <t>TA0031</t>
  </si>
  <si>
    <t>CLEVIOS K PRIMER W8</t>
  </si>
  <si>
    <t>TA0032</t>
  </si>
  <si>
    <t>CLEVIOS K PRIMER XT</t>
  </si>
  <si>
    <t>TA0033</t>
  </si>
  <si>
    <t>CLEVIOS KPLUS2</t>
  </si>
  <si>
    <t>TA0034</t>
  </si>
  <si>
    <t>CLEVIOS MV2</t>
  </si>
  <si>
    <t>TA0035</t>
  </si>
  <si>
    <t>COMPOUND CV - 4160GC6 (13X4.1G)</t>
  </si>
  <si>
    <t>TA0036</t>
  </si>
  <si>
    <t>TA0037</t>
  </si>
  <si>
    <t>COMPOUND CV-4160GC6(13X3.5G)</t>
  </si>
  <si>
    <t>TA0038</t>
  </si>
  <si>
    <t>TA0039</t>
  </si>
  <si>
    <t>COMPOUND CV-4160GC6(13X5.0G)</t>
  </si>
  <si>
    <t>TA0040</t>
  </si>
  <si>
    <t>COMPOUND CV-4160TN(13X3.5G)</t>
  </si>
  <si>
    <t>TA0041</t>
  </si>
  <si>
    <t>TA0042</t>
  </si>
  <si>
    <t>COMPOUND CV-9700 AH(13X4.0G)</t>
  </si>
  <si>
    <t>TA0043</t>
  </si>
  <si>
    <t>COMPOUND CV9800</t>
  </si>
  <si>
    <t>TA0044</t>
  </si>
  <si>
    <t>TA0045</t>
  </si>
  <si>
    <t>COMPOUND EMEC-6</t>
  </si>
  <si>
    <t>TA0046</t>
  </si>
  <si>
    <t>TA0047</t>
  </si>
  <si>
    <t>COMPOUND NIKALET ECR</t>
  </si>
  <si>
    <t>TA0048</t>
  </si>
  <si>
    <t>COTTON  CLOTHES (35CM.X45CM.)</t>
  </si>
  <si>
    <t>TA0049</t>
  </si>
  <si>
    <t>COTTON  CLOTHES(13CM.X22CM.)</t>
  </si>
  <si>
    <t>TA0050</t>
  </si>
  <si>
    <t>TA0051</t>
  </si>
  <si>
    <t>COVER TAPE  SPTA-55-480</t>
  </si>
  <si>
    <t>TA0052</t>
  </si>
  <si>
    <t>TA0053</t>
  </si>
  <si>
    <t>TA0054</t>
  </si>
  <si>
    <t>COVER TAPE A-5.3</t>
  </si>
  <si>
    <t>TA0055</t>
  </si>
  <si>
    <t>C-TAPE TP-A08-PS(H)  (A08)</t>
  </si>
  <si>
    <t>TA0056</t>
  </si>
  <si>
    <t xml:space="preserve">C-TAPE TP-A-PS(H)  </t>
  </si>
  <si>
    <t>TA0057</t>
  </si>
  <si>
    <t>C-TAPE TP-B15-PS(H)</t>
  </si>
  <si>
    <t>TA0058</t>
  </si>
  <si>
    <t>C-TAPE TP-NR-V2-PS(H) (A3)</t>
  </si>
  <si>
    <t>TA0059</t>
  </si>
  <si>
    <t>C-TAPE TP-NU-PS (H) (A2)</t>
  </si>
  <si>
    <t>TA0060</t>
  </si>
  <si>
    <t>C-TAPE TP-NW-PS(H)</t>
  </si>
  <si>
    <t>TA0061</t>
  </si>
  <si>
    <t>TA0062</t>
  </si>
  <si>
    <t>C-TAPE TP-S-PC(H)( PRODUCT  KT)</t>
  </si>
  <si>
    <t>TA0063</t>
  </si>
  <si>
    <t>C-TAPE TP-S-PS (H) B2</t>
  </si>
  <si>
    <t>TA0064</t>
  </si>
  <si>
    <t>DAIFREE MS-175</t>
  </si>
  <si>
    <t>TA0065</t>
  </si>
  <si>
    <t>TA0066</t>
  </si>
  <si>
    <t>DAWANOL  PMA</t>
  </si>
  <si>
    <t>TA0067</t>
  </si>
  <si>
    <t>Diamond  Sheet (50-55mm)</t>
  </si>
  <si>
    <t>DIAMOND  SHEET (50-55MM)</t>
  </si>
  <si>
    <t>TA0068</t>
  </si>
  <si>
    <t>DICING BLADE 220JS(75MM)</t>
  </si>
  <si>
    <t>TA0069</t>
  </si>
  <si>
    <t>DIEMOND WHEEL TYPE  (NEW)</t>
  </si>
  <si>
    <t>TA0070</t>
  </si>
  <si>
    <t>TA0071</t>
  </si>
  <si>
    <t>DIEMOND WHEEL TYPE REGUIDE  (N1)</t>
  </si>
  <si>
    <t>TA0072</t>
  </si>
  <si>
    <t>TA0073</t>
  </si>
  <si>
    <t>DIEMOND WHEEL TYPE REGUIDE  (N2)</t>
  </si>
  <si>
    <t>TA0074</t>
  </si>
  <si>
    <t>TA0075</t>
  </si>
  <si>
    <t>ECO SOLDER PASTE</t>
  </si>
  <si>
    <t>TA0076</t>
  </si>
  <si>
    <t>ECON-CL01</t>
  </si>
  <si>
    <t>TA0077</t>
  </si>
  <si>
    <t>ETHANOL ABSOLUTE</t>
  </si>
  <si>
    <t>TA0078</t>
  </si>
  <si>
    <t>TA0079</t>
  </si>
  <si>
    <t>ETHYL ALCOHOL 95%</t>
  </si>
  <si>
    <t>TA0080</t>
  </si>
  <si>
    <t>TA0081</t>
  </si>
  <si>
    <t>TA0082</t>
  </si>
  <si>
    <t>ETHYLENE GLYCOL</t>
  </si>
  <si>
    <t>TA0083</t>
  </si>
  <si>
    <t>FINGER STALL ( M )</t>
  </si>
  <si>
    <t>TA0084</t>
  </si>
  <si>
    <t>FINGER STALL ( S )</t>
  </si>
  <si>
    <t>TA0085</t>
  </si>
  <si>
    <t>FLUID EXPOXY RESIN CV5788FS</t>
  </si>
  <si>
    <t>TA0086</t>
  </si>
  <si>
    <t>G/PS SUBSTRATE  TYPE-6 ( PCB )</t>
  </si>
  <si>
    <t>TA0087</t>
  </si>
  <si>
    <t>G/PS SUBSTRATE DOOSAN ( PCB )</t>
  </si>
  <si>
    <t>TA0088</t>
  </si>
  <si>
    <t>GLASS WOOL 225TX250X370</t>
  </si>
  <si>
    <t>TA0089</t>
  </si>
  <si>
    <t>GLASS WOOL(KARAKURI)</t>
  </si>
  <si>
    <t>TA0090</t>
  </si>
  <si>
    <t>TA0091</t>
  </si>
  <si>
    <t>GSV SUBSTRAT TYPE-4 HITACHI ( PCB )</t>
  </si>
  <si>
    <t>TA0092</t>
  </si>
  <si>
    <t>HYDROGEN</t>
  </si>
  <si>
    <t>TA0093</t>
  </si>
  <si>
    <t>INNER BOX NAG 13/17</t>
  </si>
  <si>
    <t>TA0094</t>
  </si>
  <si>
    <t>INNER BOX NAG 2/3</t>
  </si>
  <si>
    <t>TA0095</t>
  </si>
  <si>
    <t>INNER BOX NAG 3/5</t>
  </si>
  <si>
    <t>TA0096</t>
  </si>
  <si>
    <t>INNER BOX NAG 5/7</t>
  </si>
  <si>
    <t>TA0097</t>
  </si>
  <si>
    <t>TA0098</t>
  </si>
  <si>
    <t>TA0099</t>
  </si>
  <si>
    <t>INNER BOX NAG 8/10</t>
  </si>
  <si>
    <t>TA0100</t>
  </si>
  <si>
    <t>INNER BOX NAG 9/13</t>
  </si>
  <si>
    <t>TA0101</t>
  </si>
  <si>
    <t>INSULATING RESIN ( DBN519S)</t>
  </si>
  <si>
    <t>TA0102</t>
  </si>
  <si>
    <t>ION TRAP- IXE-700F</t>
  </si>
  <si>
    <t>TA0103</t>
  </si>
  <si>
    <t>JK WIPER 150S</t>
  </si>
  <si>
    <t>TA0104</t>
  </si>
  <si>
    <t>KBM 403</t>
  </si>
  <si>
    <t>TA0105</t>
  </si>
  <si>
    <t>MASK -3M</t>
  </si>
  <si>
    <t>TA0106</t>
  </si>
  <si>
    <t>METHANOL 99.8</t>
  </si>
  <si>
    <t>TA0107</t>
  </si>
  <si>
    <t>METHYL ISOBUTYL KETONE</t>
  </si>
  <si>
    <t>TA0108</t>
  </si>
  <si>
    <t>MOLDING LINER NE83G</t>
  </si>
  <si>
    <t>TA0109</t>
  </si>
  <si>
    <t>MR-200</t>
  </si>
  <si>
    <t>TA0110</t>
  </si>
  <si>
    <t>NEEDLE MN-19G-13 (I)</t>
  </si>
  <si>
    <t>TA0111</t>
  </si>
  <si>
    <t>NEEDLE MN-22G-13(I)</t>
  </si>
  <si>
    <t>TA0112</t>
  </si>
  <si>
    <t>NEEDLE MN-25G-13 (I)</t>
  </si>
  <si>
    <t>TA0113</t>
  </si>
  <si>
    <t>TA0114</t>
  </si>
  <si>
    <t>NEEDLE MN-27G (I) FOR  WELDING</t>
  </si>
  <si>
    <t>TA0115</t>
  </si>
  <si>
    <t>NEEDLE NM-22G-13*(2HD)</t>
  </si>
  <si>
    <t>TA0116</t>
  </si>
  <si>
    <t>NON-WOVEN  ROLL TS507</t>
  </si>
  <si>
    <t>TA0117</t>
  </si>
  <si>
    <t xml:space="preserve">OHM COAT </t>
  </si>
  <si>
    <t>TA0118</t>
  </si>
  <si>
    <t>OLFINE</t>
  </si>
  <si>
    <t>TA0119</t>
  </si>
  <si>
    <t>PALM FIT GLOVE (L)</t>
  </si>
  <si>
    <t>TA0120</t>
  </si>
  <si>
    <t>TA0121</t>
  </si>
  <si>
    <t>PALM FIT GLOVE (M)</t>
  </si>
  <si>
    <t>TA0122</t>
  </si>
  <si>
    <t>TA0123</t>
  </si>
  <si>
    <t>PALM FIT GLOVE (S)</t>
  </si>
  <si>
    <t>TA0124</t>
  </si>
  <si>
    <t>TA0125</t>
  </si>
  <si>
    <t>PHOSPHORIC  ACID (LS)</t>
  </si>
  <si>
    <t>TA0126</t>
  </si>
  <si>
    <t>TA0127</t>
  </si>
  <si>
    <t>PIECE OF CLOTHES</t>
  </si>
  <si>
    <t>TA0128</t>
  </si>
  <si>
    <t>TA0129</t>
  </si>
  <si>
    <t>PLA-REEL EIAJRRM08B-I</t>
  </si>
  <si>
    <t>TA0130</t>
  </si>
  <si>
    <t>TA0131</t>
  </si>
  <si>
    <t>POLYGLYCERIN # 500 (PG)</t>
  </si>
  <si>
    <t>TA0132</t>
  </si>
  <si>
    <t>POLYIMIDE TAPE CRYSTAL GUEST (A08,A2 AIR TAG)</t>
  </si>
  <si>
    <t>TA0133</t>
  </si>
  <si>
    <t>POLYIMIDE TAPE ST-533L8 (A3)</t>
  </si>
  <si>
    <t>TA0134</t>
  </si>
  <si>
    <t>PTS-100</t>
  </si>
  <si>
    <t>TA0135</t>
  </si>
  <si>
    <t>PULSE ECU-B15-NT L/F</t>
  </si>
  <si>
    <t>TA0136</t>
  </si>
  <si>
    <t>PULSE ECU-B2-NT L/F</t>
  </si>
  <si>
    <t>TA0137</t>
  </si>
  <si>
    <t>PULSE ECU-B3-NT L/F</t>
  </si>
  <si>
    <t>TA0138</t>
  </si>
  <si>
    <t xml:space="preserve">PULSE FPS- B10 L/F (PD) WAIT FOR CUTTING </t>
  </si>
  <si>
    <t>TA0139</t>
  </si>
  <si>
    <t xml:space="preserve">PULSE FPS- B10 L/F (PD) WAIT FOR WELDING </t>
  </si>
  <si>
    <t>TA0140</t>
  </si>
  <si>
    <t>PULSE FPS- B10 L/F WAIT FOR CUTTING 0.59 MM.</t>
  </si>
  <si>
    <t>TA0141</t>
  </si>
  <si>
    <t>PULSE FPS- B10 L/F WAIT FOR WELDING 0.59 MM.</t>
  </si>
  <si>
    <t>TA0142</t>
  </si>
  <si>
    <t>PULSE FPS- B2 L/F WAIT FOR CUTTING</t>
  </si>
  <si>
    <t>TA0143</t>
  </si>
  <si>
    <t>PULSE FPS- B2 L/F WAIT FOR WELDING</t>
  </si>
  <si>
    <t>TA0144</t>
  </si>
  <si>
    <t xml:space="preserve">PULSE FPS- B3 L/F (PD)C194/PD/070/FB WAIT FOR CUTTING </t>
  </si>
  <si>
    <t>TA0145</t>
  </si>
  <si>
    <t xml:space="preserve">PULSE FPS- B3 L/F (PD)C194/PD/070/FB WAIT FOR WELDING </t>
  </si>
  <si>
    <t>TA0146</t>
  </si>
  <si>
    <t>PULSE FPS- B3 L/F WAIT FOR CUTTING 0.70 MM.</t>
  </si>
  <si>
    <t>TA0147</t>
  </si>
  <si>
    <t>PULSE FPS- B3 L/F WAIT FOR WELDING 0.70 MM.</t>
  </si>
  <si>
    <t>TA0148</t>
  </si>
  <si>
    <t>PULSE FPS-A08 L/F  WAIT FOR CUTTING</t>
  </si>
  <si>
    <t>TA0149</t>
  </si>
  <si>
    <t>PULSE FPS-A08 L/F  WAIT FOR WELDING</t>
  </si>
  <si>
    <t>TA0150</t>
  </si>
  <si>
    <t>PULSE FPS-A2 L/F  WAIT FOR CUTTING</t>
  </si>
  <si>
    <t>TA0151</t>
  </si>
  <si>
    <t>PULSE FPS-A2 L/F  WAIT FOR WELDING</t>
  </si>
  <si>
    <t>TA0152</t>
  </si>
  <si>
    <t>PULSE FPS-A3 AIR TAG L/F   WAIT FOR CUTTING</t>
  </si>
  <si>
    <t>TA0153</t>
  </si>
  <si>
    <t>PULSE FPS-A3 AIR TAG L/F   WAIT FOR WELDING</t>
  </si>
  <si>
    <t>TA0154</t>
  </si>
  <si>
    <t>PULSE FPS-A3 L/F   WAIT FOR CUTTING</t>
  </si>
  <si>
    <t>TA0155</t>
  </si>
  <si>
    <t>PULSE FPS-A3 L/F   WAIT FOR WELDING</t>
  </si>
  <si>
    <t>TA0156</t>
  </si>
  <si>
    <t>PUNCHING OIL (RF-520)</t>
  </si>
  <si>
    <t>TA0157</t>
  </si>
  <si>
    <t>Resin Tube  ( small )</t>
  </si>
  <si>
    <t>RESIN TUBE  ( SMALL )</t>
  </si>
  <si>
    <t>TA0158</t>
  </si>
  <si>
    <t>RFE-300</t>
  </si>
  <si>
    <t>TA0159</t>
  </si>
  <si>
    <t>RFE-D</t>
  </si>
  <si>
    <t>TA0160</t>
  </si>
  <si>
    <t>RIBBON 76.2 X 210 M.</t>
  </si>
  <si>
    <t>TA0161</t>
  </si>
  <si>
    <t>RUBCLEAN</t>
  </si>
  <si>
    <t>TA0162</t>
  </si>
  <si>
    <t>TA0163</t>
  </si>
  <si>
    <t>SCOTCH TAPE LOUIS 3/4 INCH*36YDS</t>
  </si>
  <si>
    <t>TA0164</t>
  </si>
  <si>
    <t>SFCOAT MK-2</t>
  </si>
  <si>
    <t>TA0165</t>
  </si>
  <si>
    <t>SILCOAT RN - 10AO</t>
  </si>
  <si>
    <t>TA0166</t>
  </si>
  <si>
    <t>SILCOAT RN - 10BO</t>
  </si>
  <si>
    <t>TA0167</t>
  </si>
  <si>
    <t>SILICA GEL ST10G (NB)</t>
  </si>
  <si>
    <t>TA0168</t>
  </si>
  <si>
    <t>SILICONE COATING (R6102)</t>
  </si>
  <si>
    <t>TA0169</t>
  </si>
  <si>
    <t>SILVER N-2061(SHOE)</t>
  </si>
  <si>
    <t>TA0170</t>
  </si>
  <si>
    <t>SODIUM CHLORIDE</t>
  </si>
  <si>
    <t>TA0171</t>
  </si>
  <si>
    <t>SODIUM TETRABORATE</t>
  </si>
  <si>
    <t>TA0172</t>
  </si>
  <si>
    <t>SOMIX AP7   (1405100013)</t>
  </si>
  <si>
    <t>TA0173</t>
  </si>
  <si>
    <t>Spay Daifee GA-7500 (Molding)</t>
  </si>
  <si>
    <t>SPAY DAIFEE GA-7500 (MOLDING)</t>
  </si>
  <si>
    <t>TA0174</t>
  </si>
  <si>
    <t>SPOOL TYPE (25UCN)  METEK</t>
  </si>
  <si>
    <t>TA0175</t>
  </si>
  <si>
    <t>SPOOL TYPE (25UCN)  NRK</t>
  </si>
  <si>
    <t>TA0176</t>
  </si>
  <si>
    <t>STICKER 7X5.3CM REMOVE</t>
  </si>
  <si>
    <t>TA0177</t>
  </si>
  <si>
    <t>SYRING PS 5N</t>
  </si>
  <si>
    <t>TA0178</t>
  </si>
  <si>
    <t>TA S-10 HV  (DG)</t>
  </si>
  <si>
    <t>TA0179</t>
  </si>
  <si>
    <t>TA S-10HV (RG)</t>
  </si>
  <si>
    <t>TA0180</t>
  </si>
  <si>
    <t>TA S-15 HV  ( DH )</t>
  </si>
  <si>
    <t>TA0181</t>
  </si>
  <si>
    <t>TA S-15MB  ( DK )</t>
  </si>
  <si>
    <t>TA0182</t>
  </si>
  <si>
    <t>TA S-25MB  ( DR )</t>
  </si>
  <si>
    <t>TA0183</t>
  </si>
  <si>
    <t>TA S-708  (DC)</t>
  </si>
  <si>
    <t>TA0184</t>
  </si>
  <si>
    <t>TA S-808</t>
  </si>
  <si>
    <t>TA0185</t>
  </si>
  <si>
    <t>TA STA-150KA  ( GK )</t>
  </si>
  <si>
    <t>TA0186</t>
  </si>
  <si>
    <t>TA STA-200KA  ( GP )</t>
  </si>
  <si>
    <t>TA0187</t>
  </si>
  <si>
    <t xml:space="preserve">TA STA-255KA  ( GR )            </t>
  </si>
  <si>
    <t>TA0188</t>
  </si>
  <si>
    <t>TA TTS-100KM  ( TJ )</t>
  </si>
  <si>
    <t>TA0189</t>
  </si>
  <si>
    <t>TA TTS-150KM  ( TK )</t>
  </si>
  <si>
    <t>TA0190</t>
  </si>
  <si>
    <t>TA TTS-23KM  (TM )</t>
  </si>
  <si>
    <t>TA0191</t>
  </si>
  <si>
    <t>TA TTS-40KMH  ( TT )</t>
  </si>
  <si>
    <t>TA0192</t>
  </si>
  <si>
    <t>TA TTS-50KMD  ( TD )</t>
  </si>
  <si>
    <t>TA0193</t>
  </si>
  <si>
    <t>TA TTS-80KM  (TZ )</t>
  </si>
  <si>
    <t>TA0194</t>
  </si>
  <si>
    <t xml:space="preserve">TA-WIRE    0.19 </t>
  </si>
  <si>
    <t>TA0195</t>
  </si>
  <si>
    <t>TA-WIRE    0.22</t>
  </si>
  <si>
    <t>TA0196</t>
  </si>
  <si>
    <t>TA-WIRE    0.22S</t>
  </si>
  <si>
    <t>TA0197</t>
  </si>
  <si>
    <t>TA-WIRE    0.29</t>
  </si>
  <si>
    <t>TA0198</t>
  </si>
  <si>
    <t>TA-WIRE    0.34D</t>
  </si>
  <si>
    <t>TA0199</t>
  </si>
  <si>
    <t>TA-WIRE    0.40</t>
  </si>
  <si>
    <t>TA0200</t>
  </si>
  <si>
    <t>TA-WIRE    0.47</t>
  </si>
  <si>
    <t>TA0201</t>
  </si>
  <si>
    <t>KDW0074D</t>
  </si>
  <si>
    <t>TA-WIRE   0.19KD</t>
  </si>
  <si>
    <t>LB</t>
  </si>
  <si>
    <t>TA0202</t>
  </si>
  <si>
    <t>YDW0074D</t>
  </si>
  <si>
    <t>TA-WIRE   0.19YD</t>
  </si>
  <si>
    <t>TA0203</t>
  </si>
  <si>
    <t>YDW133DR</t>
  </si>
  <si>
    <t>TA-WIRE   0.34(RECYCLE)</t>
  </si>
  <si>
    <t>TA0204</t>
  </si>
  <si>
    <t>TEFLON TAPE 0.085X13(1H)</t>
  </si>
  <si>
    <t>TA0205</t>
  </si>
  <si>
    <t>TEFLON TAPE 0.13X4(2H)</t>
  </si>
  <si>
    <t>TA0206</t>
  </si>
  <si>
    <t>TEFLON TAPE 0.23X4(2H)ANDAGING</t>
  </si>
  <si>
    <t>TA0207</t>
  </si>
  <si>
    <t>THINNER AAA GRADE</t>
  </si>
  <si>
    <t>TA0208</t>
  </si>
  <si>
    <t>TOLUENE</t>
  </si>
  <si>
    <t>TA0209</t>
  </si>
  <si>
    <t>UV TAPE UHP-1525M3E-29C-03</t>
  </si>
  <si>
    <t>TA0210</t>
  </si>
  <si>
    <t>UV-MARKING INK-WHITE(FD MP HD WHITE M)</t>
  </si>
  <si>
    <t>TA0211</t>
  </si>
  <si>
    <t>TA0212</t>
  </si>
  <si>
    <t>XYLENES</t>
  </si>
  <si>
    <t>TA0213</t>
  </si>
  <si>
    <t>ZN FILM 9Z-240(A&amp;B2)</t>
  </si>
  <si>
    <t>TA0214</t>
  </si>
  <si>
    <t>ZN-FILM ( 9ZL67-225 )</t>
  </si>
  <si>
    <t>Item</t>
  </si>
  <si>
    <t xml:space="preserve">Description </t>
  </si>
  <si>
    <t>Unit Cost</t>
  </si>
  <si>
    <t>Material</t>
  </si>
  <si>
    <t>Material Overhead</t>
  </si>
  <si>
    <t>PHOSPHORIC ACID</t>
  </si>
  <si>
    <t>LTR</t>
  </si>
  <si>
    <t>METHANOL(99.8)</t>
  </si>
  <si>
    <t>KBM-403</t>
  </si>
  <si>
    <t>COATING R6102(D)</t>
  </si>
  <si>
    <t>ACETIC ACID</t>
  </si>
  <si>
    <t>METHANOL</t>
  </si>
  <si>
    <t>TAYCATRON KA-100</t>
  </si>
  <si>
    <t>AMMONIUM PERSULFATE(TA)</t>
  </si>
  <si>
    <t>TAYCATRON KM70H(TA)</t>
  </si>
  <si>
    <t>CLEVIOS K NANO IL</t>
  </si>
  <si>
    <t>CLEVIOS KV2-HV</t>
  </si>
  <si>
    <t>CLEVIOS C-R</t>
  </si>
  <si>
    <t>CLEVIOS C-WN</t>
  </si>
  <si>
    <t>CLEVIOS K NANO IL-62</t>
  </si>
  <si>
    <t>POLYGLYCERIN #500</t>
  </si>
  <si>
    <t>AMMONIUM ADIPATE</t>
  </si>
  <si>
    <t>CLEVIOS K V5D</t>
  </si>
  <si>
    <t>Clevios K Plus 2</t>
  </si>
  <si>
    <t>Clevios K Primer XT</t>
  </si>
  <si>
    <t>N-BUTYL ACETATE</t>
  </si>
  <si>
    <t>PMA</t>
  </si>
  <si>
    <t>GRAPHITE PASTE TC-8265</t>
  </si>
  <si>
    <t>EVERYOHM T-30PLB-UL(BC)</t>
  </si>
  <si>
    <t>SILVER PASTE N-2061</t>
  </si>
  <si>
    <t>SILVER PASTE RFE-300</t>
  </si>
  <si>
    <t>RFE-D (ISOAMYL ACETATE)</t>
  </si>
  <si>
    <t>SILCOAT RN-10AO</t>
  </si>
  <si>
    <t>SILCOAT RN-10BO</t>
  </si>
  <si>
    <t>INSULATING RESIN</t>
  </si>
  <si>
    <t>EA</t>
  </si>
  <si>
    <t>ECO SOLDER PASTE RAM SDC7-2R-9C</t>
  </si>
  <si>
    <t>OHMCOAT 1034</t>
  </si>
  <si>
    <t>IXE-700F</t>
  </si>
  <si>
    <t>FLUID EPOXY RESIN CV5788FS</t>
  </si>
  <si>
    <t>COMPOUND CV-4160GC6(13X4.1G)</t>
  </si>
  <si>
    <t>MOLDING LINER NE11G</t>
  </si>
  <si>
    <t>COMPOUND EMEC-6 (13MMX2.4G)</t>
  </si>
  <si>
    <t>COMPOUND CV-4113TA(13X3.5G)</t>
  </si>
  <si>
    <t>SFCOAT MK-3H</t>
  </si>
  <si>
    <t>UV-MARKING INK (SILVER)</t>
  </si>
  <si>
    <t>UV-MARKING INK (WHITE)</t>
  </si>
  <si>
    <t>ZN FILM 9ZL67-225</t>
  </si>
  <si>
    <t>ZN FILM 9Z-240</t>
  </si>
  <si>
    <t>PLA-REEL EIAJRRM08DI</t>
  </si>
  <si>
    <t>C-TAPE TP-A-PS(H)</t>
  </si>
  <si>
    <t>MTR</t>
  </si>
  <si>
    <t>C-TAPE TP-S-PS (H)</t>
  </si>
  <si>
    <t>C-TAPE TP-E-PS (H)</t>
  </si>
  <si>
    <t>2705 SV-B2 8MMX1400M</t>
  </si>
  <si>
    <t>C-TAPE TP-NR-V2-PS(H)</t>
  </si>
  <si>
    <t>C-TAPE TP-NU-PS(H)</t>
  </si>
  <si>
    <t>C-TAPE TP-A08-PS(H)</t>
  </si>
  <si>
    <t>C-TAPE TP-S-PC(H)</t>
  </si>
  <si>
    <t>IC TAPE NO.749RW</t>
  </si>
  <si>
    <t>Tape T-1</t>
  </si>
  <si>
    <t>PULSE FSV-A3 L/F</t>
  </si>
  <si>
    <t>GSV SKID</t>
  </si>
  <si>
    <t>PULSE FPS-B3 L/F</t>
  </si>
  <si>
    <t>PULSE ECU-B3-T L/F</t>
  </si>
  <si>
    <t>PULSE FPS-A2 L/F</t>
  </si>
  <si>
    <t>42/PD/0375/FA</t>
  </si>
  <si>
    <t>42/PD/05/FA</t>
  </si>
  <si>
    <t>PULSE FPS-B10 L/F</t>
  </si>
  <si>
    <t>C194/Pd/058/FB</t>
  </si>
  <si>
    <t>C194/Pd/070/FB</t>
  </si>
  <si>
    <t>C194/Sn/094/FB</t>
  </si>
  <si>
    <t>PULSE SPOOL (C194ESH)(25UCN)</t>
  </si>
  <si>
    <t>G/SV SUBSTRATE</t>
  </si>
  <si>
    <t>G/PS SUBSTRATE TYPE 6</t>
  </si>
  <si>
    <t>G/SV SUBSTRATE-D</t>
  </si>
  <si>
    <t>ALUMINUM SPOOL (ST)</t>
  </si>
  <si>
    <t>ACRYBASE-IB30(D)</t>
  </si>
  <si>
    <t>TA VFI-29K</t>
  </si>
  <si>
    <t>GR</t>
  </si>
  <si>
    <t>TA TTS-50KMD</t>
  </si>
  <si>
    <t>TA S-15 MB</t>
  </si>
  <si>
    <t>TA TTS-23KM</t>
  </si>
  <si>
    <t>TA TTS-80KM BPSD</t>
  </si>
  <si>
    <t>TA STA-150KA(TYPE VI)</t>
  </si>
  <si>
    <t>TA S-300T</t>
  </si>
  <si>
    <t>TA S-20MB</t>
  </si>
  <si>
    <t>TA TTS-40KMH</t>
  </si>
  <si>
    <t>TA TTS-100KM</t>
  </si>
  <si>
    <t>TA STA-100KA BPSD</t>
  </si>
  <si>
    <t>TA TTS-150KM</t>
  </si>
  <si>
    <t>TA STA-200KA</t>
  </si>
  <si>
    <t>TA STA-255KA</t>
  </si>
  <si>
    <t>TA S-25 MB</t>
  </si>
  <si>
    <t>TA S-15HV</t>
  </si>
  <si>
    <t>TA S-708</t>
  </si>
  <si>
    <t>TA S-10HV</t>
  </si>
  <si>
    <t>TA S-10HV(RC)</t>
  </si>
  <si>
    <t>TA S-15HV(RC)</t>
  </si>
  <si>
    <t>TA S-25MB(RC)</t>
  </si>
  <si>
    <t>TA-WIRE 0.19</t>
  </si>
  <si>
    <t>TA-WIRE 0.29</t>
  </si>
  <si>
    <t>TA-WIRE 0.34</t>
  </si>
  <si>
    <t>TA-WIRE 0.19S</t>
  </si>
  <si>
    <t>TA-WIRE 0.8</t>
  </si>
  <si>
    <t>TA-WIRE 0.6</t>
  </si>
  <si>
    <t>TA-WIRE 0.22</t>
  </si>
  <si>
    <t>TA-WIRE 0.47</t>
  </si>
  <si>
    <t>TA-WIRE 0.4</t>
  </si>
  <si>
    <t>TA-WIRE 0.34D</t>
  </si>
  <si>
    <t>TA-WIRE 0.22D</t>
  </si>
  <si>
    <t>TA-WIRE 0.22S</t>
  </si>
  <si>
    <t>CONDUCTIVE RUBBER SHEET IN905 BPGT</t>
  </si>
  <si>
    <t>CONDUCTIVE RUBBER SHEETIN-903 BPGTSP30</t>
  </si>
  <si>
    <t>CONDUCTIVE RUBBER SHEET IN-902 BPGT</t>
  </si>
  <si>
    <t>CONDUCTIVE RUBBER SHEETIN-903 BPGTSP20</t>
  </si>
  <si>
    <t>PE AQUA SHEET(0.14TX320X300M)</t>
  </si>
  <si>
    <t>PE BLUE SHEET(0.05TX320X500M)</t>
  </si>
  <si>
    <t>PE PINK SHEET(0.07TX320X500M)</t>
  </si>
  <si>
    <t>POLYESTER FILM SP-MPET-O2-50-BU</t>
  </si>
  <si>
    <t>NON-CONDUCTIVERUBBER SHEET IN-702 0.18T</t>
  </si>
  <si>
    <t>NON-CONDUCTIVE RUBBERSHEET IN-702 0.20T</t>
  </si>
  <si>
    <t>NON-CONDUCTIVERUBBERSHEET IN-702 0.28T</t>
  </si>
  <si>
    <t>NON-CONDUCTIVE RUBBERSHEET IN-702 0.33T</t>
  </si>
  <si>
    <t>NON-CONDUCTIVE RUBBERSHEET IN-702 0.38T</t>
  </si>
  <si>
    <t>NON-CONDUCTIVE RUBBERSHEET IN-702 0.45T</t>
  </si>
  <si>
    <t>NON-CONDUCTIVE RUBBERSHEET IN-702 0.50T</t>
  </si>
  <si>
    <t>NON-CONDUCTIVE RUBBERSHEET IN-702 0.65T</t>
  </si>
  <si>
    <t>NON-CONDUCTIVE RUBBERSHEET IN-702 1.0T</t>
  </si>
  <si>
    <t>NON-CONDUCTIVE RUBBERSHEET IN-702 1.2T</t>
  </si>
  <si>
    <t>NON-CONDUCTIVE RUBBERSHEET IN-702 1.3T</t>
  </si>
  <si>
    <t>NON-CONDUCTIVE RUBBERSHEET IN-702 2.0T</t>
  </si>
  <si>
    <t>NON-CONDUCTIVE RUBBERSHEET IN-702 0.24T</t>
  </si>
  <si>
    <t>NON-CONDUCTIVE RUBBERSHEET IN-702 0.36T</t>
  </si>
  <si>
    <t>COVER TAPE (F4DK) 21.3MM 8LC</t>
  </si>
  <si>
    <t>ADDITIVE PAS-22SA-40</t>
  </si>
  <si>
    <t>CONDUCTIVE RUBBER SHEETIN-902 BPGTSP30</t>
  </si>
  <si>
    <t>DILUTED SULPHURIC ACID 43%</t>
  </si>
  <si>
    <t>ACTIVATED CARBON POWDER SHIRASAKI EDC-B</t>
  </si>
  <si>
    <t>ACTIVATED CARBON AB7X001U</t>
  </si>
  <si>
    <t>ACTIVATED CARBON AB6X001U</t>
  </si>
  <si>
    <t>Ortho-Phosphoric acid</t>
  </si>
  <si>
    <t>SEPARATOR PUNCHING BOARD 300X400X2</t>
  </si>
  <si>
    <t>T-100(250UX308X150)</t>
  </si>
  <si>
    <t>PE YELLOW SHEET(0.1TX320X500M)</t>
  </si>
  <si>
    <t>FILMBYNA 75E-0010BD/300MM</t>
  </si>
  <si>
    <t>SEPARATOR PUNCHING BOARD 300X400X3</t>
  </si>
  <si>
    <t>SEPARATOR PUNCHING BOARD 380X380X5</t>
  </si>
  <si>
    <t>PUNCHING BOARD 350MM*430MM*2T(PVC)</t>
  </si>
  <si>
    <t>PROEFLON HPW-010-50N</t>
  </si>
  <si>
    <t>SEPARATOR PUNCHING BOARD300X400X3#NO.40</t>
  </si>
  <si>
    <t>SEPARATOR PUNCHING BOARD300X400X3#NO.100</t>
  </si>
  <si>
    <t>DVT-5A 0.05X330(RUBBER310)X50M</t>
  </si>
  <si>
    <t>SEPARATOR JNE85S-E7</t>
  </si>
  <si>
    <t>SEPARATOR JNE-85S Q</t>
  </si>
  <si>
    <t>Seperator TFDG50P050010-50</t>
  </si>
  <si>
    <t>30H ABOVE PLATE</t>
  </si>
  <si>
    <t>30H UNDER PLATE</t>
  </si>
  <si>
    <t>37H ABOVE PLATE</t>
  </si>
  <si>
    <t>37H UNDER PLATE</t>
  </si>
  <si>
    <t>8YDLG SUS OUTER CASE(6.4H)</t>
  </si>
  <si>
    <t>8YDV SUS OUTER CASE(5.1H)</t>
  </si>
  <si>
    <t>8YH SUS OUTER CASE(6.6H)</t>
  </si>
  <si>
    <t>F23 STIFFENING PLATE (0.7MM)</t>
  </si>
  <si>
    <t>F23 ABOVE PLATE</t>
  </si>
  <si>
    <t>10YL.SUS OUTER CCASE(4.9H)</t>
  </si>
  <si>
    <t>10YL.SUS OUTER CCASE(4.7H)</t>
  </si>
  <si>
    <t>8N.SUS OUTER CASE(7.6H)</t>
  </si>
  <si>
    <t>8N-F BUILT-IN TER. INSULATOR(LF)</t>
  </si>
  <si>
    <t>8YH-F BUILT-IN TER. INSULATOR(LF)</t>
  </si>
  <si>
    <t>12A-F BUILT-IN TER. INSULATOR(LF)</t>
  </si>
  <si>
    <t>13LZ-F BUILT-IN TER. INSULATOR(LF)</t>
  </si>
  <si>
    <t>13M-F BUILT-IN TER. INSULATOR(LF)</t>
  </si>
  <si>
    <t>13MYD-F BUILT-IN TER. INSULATOR(LF)</t>
  </si>
  <si>
    <t>8R-F BUILT-IN TER. INSULATOR(LF)</t>
  </si>
  <si>
    <t>10J-F BUILT-IN TER. INSULATOR(LF)</t>
  </si>
  <si>
    <t>17M-F BUILT-IN TER. INSULATOR(LF)</t>
  </si>
  <si>
    <t>17LZ-F BUILT-IN TER. INSULATOR(LF)</t>
  </si>
  <si>
    <t>23LJ-F BUILT-IN TER. INSULATOR(LF)</t>
  </si>
  <si>
    <t>23LYD-F BUILT-IN TER. INSULATOR(LF)</t>
  </si>
  <si>
    <t>23M-F BUILT-IN TER. INSULATOR(LF)</t>
  </si>
  <si>
    <t>23MYDA-F BUILT-IN TER. INSULATOR(LF)</t>
  </si>
  <si>
    <t>23MYH-F BUILT-IN TER. INSULATOR(LF)</t>
  </si>
  <si>
    <t>23MC-F BUILT-IN TER. INSULATOR(LF)</t>
  </si>
  <si>
    <t>30A-F BUILT-IN TER. INSULATOR(LF)</t>
  </si>
  <si>
    <t>30H-F BUILT-IN TER. INSULATOR(LF)</t>
  </si>
  <si>
    <t>37A-F BUILT-IN TER. INSULATOR(LF)</t>
  </si>
  <si>
    <t>37H-F BUILT-IN TER. INSULATOR(LF)</t>
  </si>
  <si>
    <t>37MT-F BUILT-IN TER. INSULATOR(LF)</t>
  </si>
  <si>
    <t>8R-F OUTER CASE(12.0H:LEAD FREE)</t>
  </si>
  <si>
    <t>10J-F OUTER CASE(9.3H:LEAD FREE)</t>
  </si>
  <si>
    <t>17LZ-F OUTER CASE(22.4H:LEAD FREE)</t>
  </si>
  <si>
    <t>17LR-F OUTER CASE(19.2H:LEAD FREE)</t>
  </si>
  <si>
    <t>17LY-F OUTER CASE(17.0H:LEAD FREE)</t>
  </si>
  <si>
    <t>17M-F OUTER CASE(12.1H:LEAD FREE)</t>
  </si>
  <si>
    <t>17M-F OUTER CASE(13.0H:LEAD FREE)</t>
  </si>
  <si>
    <t>17MYD-F OUTER CASE(15.3H:LEAD FREE)</t>
  </si>
  <si>
    <t>17MYH-H1-F OUTER CASE(9.0H:LEAD FREE)</t>
  </si>
  <si>
    <t>17MYH-F OUTER CASE(10.0H:LEAD FREE)</t>
  </si>
  <si>
    <t>23A-F OUTER CASE(21.7H:LEAD FREE)</t>
  </si>
  <si>
    <t>23L-F OUTER CASE(9.0H:LEAD FREE)</t>
  </si>
  <si>
    <t>23LJ-F OUTER CASE(9.5H:LEAD FREE)</t>
  </si>
  <si>
    <t>23LYDB-F OUTER CASE(37.0H:LEAD FREE)</t>
  </si>
  <si>
    <t>23LYD-F OUTER CASE(19.7H:LEAD FREE)</t>
  </si>
  <si>
    <t>23MC-F OUTER CASE(29.0H:LEAD FREE)</t>
  </si>
  <si>
    <t>23M-F OUTER CASE(12.2H:LEAD FREE)</t>
  </si>
  <si>
    <t>23M-F OUTER CASE(13.0H:LEAD FREE)</t>
  </si>
  <si>
    <t>23MYDA-F OUTER CASE(31.6H:LEAD FREE)</t>
  </si>
  <si>
    <t>23MYH-F OUTER CASE(10.0H:LEAD FREE)</t>
  </si>
  <si>
    <t>23LYD-F OUTER CASE(17.3H:LEAD FREE)</t>
  </si>
  <si>
    <t>30A-F OUTER CASE(25.5H:LEAD FREE)</t>
  </si>
  <si>
    <t>30H-F OUTER CASE(15.5H:LEAD FREE)</t>
  </si>
  <si>
    <t>37A-F OUTER CASE(25.7H)</t>
  </si>
  <si>
    <t>37H-F OUTER CASE(16.9H)</t>
  </si>
  <si>
    <t>37LYDB-F OUTER CASE(60.0H)</t>
  </si>
  <si>
    <t>10N-F BUILT-IN TER. INSULATOR(LF)</t>
  </si>
  <si>
    <t>10YL-F BUILT-IN TER. INSULATOR(LF)</t>
  </si>
  <si>
    <t>11LRJ-F BUILT-IN TER. INSULATOR(LF)</t>
  </si>
  <si>
    <t>23A-F BUILT-IN TER. INSULATOR(LF)</t>
  </si>
  <si>
    <t>17GCH-F BUILT-IN TER. INSULATOR(LF)</t>
  </si>
  <si>
    <t>17MYH-F-P5 BUILT-IN TER. INSULATOR(LF)</t>
  </si>
  <si>
    <t>23LYDB-F BUILT-IN TER. INSULATOR(LF)</t>
  </si>
  <si>
    <t>10LG-F OUTER CASE(16.2H:LEAD FREE)</t>
  </si>
  <si>
    <t>10LR-F OUTER CASE(19.1H:LEAD FREE)</t>
  </si>
  <si>
    <t>10MYD-F OUTER CASE(13.5H:LEAD FREE)</t>
  </si>
  <si>
    <t>10MYD-F OUTER CASE(14.6H:LEAD FREE)</t>
  </si>
  <si>
    <t>10N-F OUTER CASE(8.0H:LEAD FREE)</t>
  </si>
  <si>
    <t>10Y-H-F OUTER CASE(7.1H:LEAD FREE)</t>
  </si>
  <si>
    <t>10YDT-F OUTER CASE(7.5H:LEAD FREE)</t>
  </si>
  <si>
    <t>11Z-F OUTER CASE(11.6H:LEAD FREE)</t>
  </si>
  <si>
    <t>11Z-F OUTER CASE(12.4H:LEAD FREE)</t>
  </si>
  <si>
    <t>12A-F OUTER CASE(19.7H:LEAD FREE)</t>
  </si>
  <si>
    <t>12H-F OUTER CASE(11.9H:LEAD FREE)</t>
  </si>
  <si>
    <t>12AM-F OUTER CASE(18.6H:LEAD FREE)</t>
  </si>
  <si>
    <t>13EC-F OUTER CASE(6.6H:LEAD FREE)</t>
  </si>
  <si>
    <t>13J-F OUTER CASE(13.0H:LEAD FREE)</t>
  </si>
  <si>
    <t>13LG-F OUTER CASE(17.2H:LEAD FREE)</t>
  </si>
  <si>
    <t>13LR-F OUTER CASE(19.0H:LEAD FREE)</t>
  </si>
  <si>
    <t>13M-F OUTER CASE(11.4H:LEAD FREE)</t>
  </si>
  <si>
    <t>13MYD-F OUTER CASE(14.7H:LEAD FREE)</t>
  </si>
  <si>
    <t>13MYH-F OUTER CASE(9.2H:LEAD FREE)</t>
  </si>
  <si>
    <t>13N-F OUTER CASE(8.3H:LEAD FREE)</t>
  </si>
  <si>
    <t>13YH-F OUTER CASE(7.1H:LEAD FREE)</t>
  </si>
  <si>
    <t>13MK-F OUTER CASE(16.0H:LEAD FREE)</t>
  </si>
  <si>
    <t>8R-FN(NI)BUILT-IN TER. INSULATOR(LF)</t>
  </si>
  <si>
    <t>11LRJ-FN(NI)BUILT-IN TERINSULATOR(LF)</t>
  </si>
  <si>
    <t>10N-PET RED SLEEVE</t>
  </si>
  <si>
    <t>13N-PET RED SLEEVE</t>
  </si>
  <si>
    <t>13M-PET RED SLEEVE</t>
  </si>
  <si>
    <t>17M-PET RED SLEEVE</t>
  </si>
  <si>
    <t>23M-PET RED SLEEVE</t>
  </si>
  <si>
    <t>8YH-PET RED SLEEVE</t>
  </si>
  <si>
    <t>10YH-PET RED SLEEVE</t>
  </si>
  <si>
    <t>13MYH-PET RED SLEEVE</t>
  </si>
  <si>
    <t>17MYH-PET RED SLEEVE</t>
  </si>
  <si>
    <t>23MYH-PET RED SLEEVE</t>
  </si>
  <si>
    <t>10YD-PET RED SLEEVE</t>
  </si>
  <si>
    <t>10MYD-PET RED SLEEVE</t>
  </si>
  <si>
    <t>13MYD-PET RED SLEEVE</t>
  </si>
  <si>
    <t>17MYD-PET RED SLEEVE</t>
  </si>
  <si>
    <t>17LYD-PET RED SLEEVE</t>
  </si>
  <si>
    <t>23LYD-PET RED SLEEVE</t>
  </si>
  <si>
    <t>8R-PET RED SLEEVE</t>
  </si>
  <si>
    <t>10R-PET RED SLEEVE</t>
  </si>
  <si>
    <t>10MR-PET RED SLEEVE</t>
  </si>
  <si>
    <t>13LR-PET RED SLEEVE</t>
  </si>
  <si>
    <t>17LR-PET RED SLEEVE</t>
  </si>
  <si>
    <t>13E-PET RED SLEEVE</t>
  </si>
  <si>
    <t>23E-PET RED SLEEVE</t>
  </si>
  <si>
    <t>30E-PET RED SLEEVE</t>
  </si>
  <si>
    <t>37E-PET RED SLEEVE</t>
  </si>
  <si>
    <t>23MYDA-PET RED SLEEVE</t>
  </si>
  <si>
    <t>23MA-PET RED SLEEVE</t>
  </si>
  <si>
    <t>7G-PET RED SLEEVE</t>
  </si>
  <si>
    <t>8BG-PET RED SLEEVE</t>
  </si>
  <si>
    <t>10G-PET RED SLEEVE</t>
  </si>
  <si>
    <t>10LG-PET RED SLEEVE</t>
  </si>
  <si>
    <t>13LG-PET RED SLEEVE</t>
  </si>
  <si>
    <t>17LG-PET RED SLEEVE</t>
  </si>
  <si>
    <t>23LG-PET RED SLEEVE</t>
  </si>
  <si>
    <t>10YDT-PET RED SLEEVE</t>
  </si>
  <si>
    <t>10MT-PET RED SLEEVE</t>
  </si>
  <si>
    <t>13MT-PET RED SLEEVE</t>
  </si>
  <si>
    <t>17MT-PET RED SLEEVE</t>
  </si>
  <si>
    <t>23MT-PET RED SLEEVE</t>
  </si>
  <si>
    <t>30MT-PET RED SLEEVE</t>
  </si>
  <si>
    <t>37MT-PET RED SLEEVE</t>
  </si>
  <si>
    <t>8NH-PET BLUE SLEEVE SC (17.1MM)</t>
  </si>
  <si>
    <t>8NHJ-PET BLUE SLEEVE SC (18.5MM)</t>
  </si>
  <si>
    <t>8YDJ-PET BLUE SLEEVE SC (18.5MM)</t>
  </si>
  <si>
    <t>8YDV-PET BLUE SLEEVE SC (17.1MM)</t>
  </si>
  <si>
    <t>9GH-PET BLUE SLEEVE SC (19.1MM)</t>
  </si>
  <si>
    <t>10E-PET BLUE SLEEVE SC (23.4MM)</t>
  </si>
  <si>
    <t>10J-PET BLUE SLEEVE SC (21.6MM)</t>
  </si>
  <si>
    <t>12AM-PET BLUE SLEEVE SC (26.2MM)</t>
  </si>
  <si>
    <t>13EC-PET BLUE SLEEVE SC (26.2MM)</t>
  </si>
  <si>
    <t>13MV-PET BLUE SLEEVE SC (26.2MM)</t>
  </si>
  <si>
    <t>13MTK-PET BLUE SLEEVE SC (26.2MM)</t>
  </si>
  <si>
    <t>13MKF-PET BLUESLEEVE SC (26.2MM)</t>
  </si>
  <si>
    <t>17EB-PET BLUE SLEEVE SC (34.5MM)</t>
  </si>
  <si>
    <t>17LGF-NIC-PET BLUE SLEEVE NIC (34.5MM)</t>
  </si>
  <si>
    <t>17GCHQ-RP5-PETBLUESLEEVE SC (34.5MM)</t>
  </si>
  <si>
    <t>23LK-PET BLUE SLEEVE SC (45.5MM)</t>
  </si>
  <si>
    <t>23B-PET BLUE SLEEVE SC (45.5MM)</t>
  </si>
  <si>
    <t>23H-PET BLUE SLEEVE SC (45.5MM)</t>
  </si>
  <si>
    <t>23L-PET BLUE SLEEVE SC (45.5MM)</t>
  </si>
  <si>
    <t>23LJ-PET BLUE SLEEVE SC (45.5MM)</t>
  </si>
  <si>
    <t>30LYD-PET BLUE SLEEVE SC (58.0MM)</t>
  </si>
  <si>
    <t>10MTF-NIC-PET BLUE SLEEVE NIC (23.4MM)</t>
  </si>
  <si>
    <t>13LGF-NIC-PET BLUE SLEEVE NIC (26.2MM)</t>
  </si>
  <si>
    <t>13NF-NIC-PET BLUE SLEEVE NIC (26.2MM)</t>
  </si>
  <si>
    <t>8BGF-NIC-PET BLUE SLEEVE NIC (17.1MM)</t>
  </si>
  <si>
    <t>10LGF-NIC-PET BLUE SLEEVE NIC (23.4MM)</t>
  </si>
  <si>
    <t>23MF-NIC-PET BLUE SLEEVE NIC (45.5MM)</t>
  </si>
  <si>
    <t>23MTF-NIC-PET BLUE SLEEVE NIC (45.5MM)</t>
  </si>
  <si>
    <t>10YDTF-NIC-PET BLUE SLEEVE NIC (18.5MM)</t>
  </si>
  <si>
    <t>13MTF-NIC-PET BLUE SLEEVE NIC (26.2MM)</t>
  </si>
  <si>
    <t>13MTHF-NIC-PET BLUE SLEEVE NIC (26.2MM)</t>
  </si>
  <si>
    <t>17MTF-NIC-PET BLUE SLEEVE NIC (34.5MM)</t>
  </si>
  <si>
    <t>23MYDAF-NIC-PET BLUE SLEEVE NIC (45.5MM)</t>
  </si>
  <si>
    <t>23LYDBF-NIC-PET BLUE SLEEVE NIC (45.5MM)</t>
  </si>
  <si>
    <t>30MTF-NIC-PET BLUE SLEEVE NIC (58.0MM)</t>
  </si>
  <si>
    <t>17MTA-PET BLUE SLEEVE SC (34.5MM)</t>
  </si>
  <si>
    <t>17LGVF-PET BLUE SLEEVE SC (34.5MM)</t>
  </si>
  <si>
    <t>17LGE-PET BLUE SLEEVE SC (34.5MM)</t>
  </si>
  <si>
    <t>8YV-F HOOP TERMINAL (LEAD FREE)</t>
  </si>
  <si>
    <t>8YDV SUS OUTER CASE(4.8H)</t>
  </si>
  <si>
    <t>8YDLG INSULATOR</t>
  </si>
  <si>
    <t>8BGH-S INSULATOR (TAIYO-KOSAN)</t>
  </si>
  <si>
    <t>17LRJ-PET BLUE SLEEVE SC (34.5MM)</t>
  </si>
  <si>
    <t>8YDV INSULATOR</t>
  </si>
  <si>
    <t>11LZ-F OUTER CASE(22.8H:LEAD FREE)</t>
  </si>
  <si>
    <t>17E-PET RED SLEEVE</t>
  </si>
  <si>
    <t>17LZ-F OUTER CASE(23.1H:LEAD FREE)</t>
  </si>
  <si>
    <t>17GHR-PET RED SLEEVE</t>
  </si>
  <si>
    <t>NC CORE 190*235*11</t>
  </si>
  <si>
    <t>10NF-NIC-PET BLUE SLEEVE NIC (20.6MM)</t>
  </si>
  <si>
    <t>23LGF-NIC-PET BLUE SLEEVE NIC (45.5MM)</t>
  </si>
  <si>
    <t>7G-PET BLUE SLEEVE SC (17.1MM)</t>
  </si>
  <si>
    <t>7YL-PET BLUE SLEEVE SC (17.1MM)</t>
  </si>
  <si>
    <t>8BG-PET BLUE SLEEVE SC (17.1MM)</t>
  </si>
  <si>
    <t>8BGH-PET BLUE SLEEVE SC (17.1MM)</t>
  </si>
  <si>
    <t>8CGH-PET BLUE SLEEVE SC (17.1MM)</t>
  </si>
  <si>
    <t>8G-PET BLUE SLEEVE SC (17.1MM)</t>
  </si>
  <si>
    <t>8LG-PET BLUE SLEEVE SC (17.1MM)</t>
  </si>
  <si>
    <t>8N-PET BLUE SLEEVE SC (18.5MM)</t>
  </si>
  <si>
    <t>8R-PET BLUE SLEEVE SC (18.5MM)</t>
  </si>
  <si>
    <t>8Y-PET BLUE SLEEVE SC (18.5MM)</t>
  </si>
  <si>
    <t>8YD-PET BLUE SLEEVE SC (18.5MM)</t>
  </si>
  <si>
    <t>8YL-PET BLUE SLEEVE SC (17.1MM)</t>
  </si>
  <si>
    <t>10G-PET BLUE SLEEVE SC (20.6MM)</t>
  </si>
  <si>
    <t>10LG-PET BLUE SLEEVE SC (23.4MM)</t>
  </si>
  <si>
    <t>10LR-PET BLUE SLEEVE SC (23.4MM)</t>
  </si>
  <si>
    <t>10MR-PET BLUE SLEEVE SC (23.4MM)</t>
  </si>
  <si>
    <t>10MT-PET BLUE SLEEVE SC (23.4MM)</t>
  </si>
  <si>
    <t>10MYD-PET BLUE SLEEVE SC (23.4MM)</t>
  </si>
  <si>
    <t>10N-PET BLUE SLEEVE SC (20.6MM)</t>
  </si>
  <si>
    <t>10R-PET BLUE SLEEVE SC (23.4MM)</t>
  </si>
  <si>
    <t>10YD-PET BLUE SLEEVE SC (20.6MM)</t>
  </si>
  <si>
    <t>10YDT-PET BLUE SLEEVE SC (18.5MM)</t>
  </si>
  <si>
    <t>10YH-PET BLUE SLEEVE SC (20.6MM)</t>
  </si>
  <si>
    <t>10YL-PET BLUE SLEEVE SC (19.1MM)</t>
  </si>
  <si>
    <t>10GHV-PET BLUE SLEEVE SC (20.6MM)</t>
  </si>
  <si>
    <t>12A-PET BLUE SLEEVE SC (26.2MM)</t>
  </si>
  <si>
    <t>12H-PET BLUE SLEEVE SC (26.2MM)</t>
  </si>
  <si>
    <t>13E-PET BLUE SLEEVE SC (26.2MM)</t>
  </si>
  <si>
    <t>13GH-PET BLUE SLEEVE SC (26.2MM)</t>
  </si>
  <si>
    <t>13LG-PET BLUE SLEEVE SC (26.2MM)</t>
  </si>
  <si>
    <t>13LGV-PET BLUE SLEEVE SC (26.2MM)</t>
  </si>
  <si>
    <t>13LR-PET BLUE SLEEVE SC (26.2MM)</t>
  </si>
  <si>
    <t>13M-PET BLUE SLEEVE SC (26.2MM)</t>
  </si>
  <si>
    <t>13MT-PET BLUE SLEEVE SC (26.2MM)</t>
  </si>
  <si>
    <t>13MYD-PET BLUE SLEEVE SC (26.2MM)</t>
  </si>
  <si>
    <t>13MYH-PET BLUE SLEEVE SC (26.2MM)</t>
  </si>
  <si>
    <t>13N-PET BLUE SLEEVE SC (26.2MM)</t>
  </si>
  <si>
    <t>13YH-PET BLUE SLEEVE SC (26.2MM)</t>
  </si>
  <si>
    <t>17E-PET BLUE SLEEVE SC (34.5MM)</t>
  </si>
  <si>
    <t>17GH-PET BLUE SLEEVE SC (34.5MM)</t>
  </si>
  <si>
    <t>17GHR-PET BLUE SLEEVE SC (34.5MM)</t>
  </si>
  <si>
    <t>17H-PET BLUE SLEEVE SC (34.5MM)</t>
  </si>
  <si>
    <t>17LG-PET BLUE SLEEVE SC (34.5MM)</t>
  </si>
  <si>
    <t>17LR-PET BLUE SLEEVE SC (34.5MM)</t>
  </si>
  <si>
    <t>17LYD-PET BLUE SLEEVE SC (34.5MM)</t>
  </si>
  <si>
    <t>17M-PET BLUE SLEEVE SC (34.5MM)</t>
  </si>
  <si>
    <t>17MT-PET BLUE SLEEVE SC (34.5MM)</t>
  </si>
  <si>
    <t>17MYD-PET BLUE SLEEVE SC (34.5MM)</t>
  </si>
  <si>
    <t>17MYH-PET BLUE SLEEVE SC (34.5MM)</t>
  </si>
  <si>
    <t>23A-PET BLUE SLEEVE SC (45.5MM)</t>
  </si>
  <si>
    <t>23A2-PET BLUE SLEEVE SC (45.5MM)</t>
  </si>
  <si>
    <t>23A2F-1-PET BLUE SLEEVE SC (45.5MM)</t>
  </si>
  <si>
    <t>23LG-PET BLUE SLEEVE SC (45.5MM)</t>
  </si>
  <si>
    <t>23LYD-PET BLUE SLEEVE SC (45.5MM)</t>
  </si>
  <si>
    <t>23LYDB-PET BLUE SLEEVE SC (45.5MM)</t>
  </si>
  <si>
    <t>23M-PET BLUE SLEEVE SC (45.5MM)</t>
  </si>
  <si>
    <t>23MA-PET BLUE SLEEVE SC (45.5MM)</t>
  </si>
  <si>
    <t>23MT-PET BLUE SLEEVE SC (45.5MM)</t>
  </si>
  <si>
    <t>23MYDA-PET BLUE SLEEVE SC (45.5MM)</t>
  </si>
  <si>
    <t>23MYH-PET BLUE SLEEVE SC (45.5MM)</t>
  </si>
  <si>
    <t>30A-PET BLUE SLEEVE SC (58.0MM)</t>
  </si>
  <si>
    <t>30E-PET BLUE SLEEVE SC (58.0MM)</t>
  </si>
  <si>
    <t>30H-PET BLUE SLEEVE SC (58.0MM)</t>
  </si>
  <si>
    <t>30MT-PET BLUE SLEEVE SC (58.0MM)</t>
  </si>
  <si>
    <t>37A-PET BLUE SLEEVE SC (70.0MM)</t>
  </si>
  <si>
    <t>37E-PET BLUE SLEEVE SC (70.0MM)</t>
  </si>
  <si>
    <t>37H-PET BLUE SLEEVE SC (70.0MM)</t>
  </si>
  <si>
    <t>37LYDB-PET BLUE SLEEVE SC (70.0MM)</t>
  </si>
  <si>
    <t>37MT-PET BLUE SLEEVE SC (70.0MM)</t>
  </si>
  <si>
    <t>13LGRF-PET BLUE SLEEVE SC (26.2MM)</t>
  </si>
  <si>
    <t>17LGRF-PET BLUE SLEEVE SC (34.5MM)</t>
  </si>
  <si>
    <t>10LGRF-PET BLUE SLEEVE SC (23.4MM)</t>
  </si>
  <si>
    <t>23E-PET BLUE SLEEVE SC (45.5MM)</t>
  </si>
  <si>
    <t>8YH-PET BLUE SLEEVE SC (18.5MM)</t>
  </si>
  <si>
    <t>11LRJ-PET BLUE SLEEVE SC (23.4MM)</t>
  </si>
  <si>
    <t>17MU-PET PURPLE SLEEVE</t>
  </si>
  <si>
    <t>10GF-NIC-PET BLUE SLEEVE SC (20.6MM)</t>
  </si>
  <si>
    <t>13LGRF-NIC-PET BLUE SLEEVE SC (26.2MM)</t>
  </si>
  <si>
    <t>10LGRF-NIC-PET BLUE SLEEVE SC (23.4MM)</t>
  </si>
  <si>
    <t>13M-NIC-PET BLUE SLEEVE SC (26.2MM)</t>
  </si>
  <si>
    <t>17LGRF-NIC-PET BLUE SLEEVE SC (34.5MM)</t>
  </si>
  <si>
    <t>17MXUF-PET PURPLE SLEEVE SC (34.5MM)</t>
  </si>
  <si>
    <t>PBT 5010GN1-30 AM2-BK88</t>
  </si>
  <si>
    <t>LIQUID RESIN KS-420B-2</t>
  </si>
  <si>
    <t>F23 STIFFENING PLATE (23LK:0.3*25F)</t>
  </si>
  <si>
    <t>9GH-P10 RESIN PLATE</t>
  </si>
  <si>
    <t>COATPHITE EUF-50-18 186X234</t>
  </si>
  <si>
    <t>PACKING BAG (SUPER CAPACITOR) 500M</t>
  </si>
  <si>
    <t>BUBBLE BAG (70.5 X 67 CM)</t>
  </si>
  <si>
    <t>BUBBLE SHEET (43 X 130CM)</t>
  </si>
  <si>
    <t>PACKING CARDBOARD BOX  #1 (49X239MM)</t>
  </si>
  <si>
    <t>PACKING CARDBOARD BOX  #2 (50X186MM)</t>
  </si>
  <si>
    <t>SC PACKING BOX NO.1 26MM(LEAD-FREE)</t>
  </si>
  <si>
    <t>SC PACKING BOX NO.2 32MM(LEAD-FREE)</t>
  </si>
  <si>
    <t>SC PACKING BOX NO.3 54MM(LEAD-FREE)</t>
  </si>
  <si>
    <t>ROLL CORE(10YDTF-LKCP)</t>
  </si>
  <si>
    <t>SC PACKING STICK CAP#3(13NFC-W)</t>
  </si>
  <si>
    <t>SC PACKING STICK#3(13NFC-W)</t>
  </si>
  <si>
    <t>SC CARTON NO.4</t>
  </si>
  <si>
    <t>SC CARTON NO.8</t>
  </si>
  <si>
    <t>SC CARTON NO.21</t>
  </si>
  <si>
    <t>SC CARTON NO.23</t>
  </si>
  <si>
    <t>SC CARTON NO.24</t>
  </si>
  <si>
    <t>SC CARTON NO.32</t>
  </si>
  <si>
    <t>SC CARTON NO.33</t>
  </si>
  <si>
    <t>SC CARTON NO.13</t>
  </si>
  <si>
    <t>FM PACKING PALLET(TYPE-A)</t>
  </si>
  <si>
    <t>SC PARTITION 52X190</t>
  </si>
  <si>
    <t>SC PARTITION 52X242</t>
  </si>
  <si>
    <t>ESD Packaging Tray 80p</t>
  </si>
  <si>
    <t>ESD Packaging Bag - Blue 0.05×210×310mm</t>
  </si>
  <si>
    <t>D17 ESD TRAY (VPS-1086)</t>
  </si>
  <si>
    <t>BUBBLE SHEET (235 X 183CM)</t>
  </si>
  <si>
    <t>FM HOOP TERMINAL A (LEAD FREE)</t>
  </si>
  <si>
    <t>FM HOOP TERMINAL B (0.3MM:LEAD FREE)</t>
  </si>
  <si>
    <t>FM HOOP TERMINAL C (LEAD FREE)</t>
  </si>
  <si>
    <t>FM HOOP TERMINAL A (NI:LEAD FREE)</t>
  </si>
  <si>
    <t>FM SUS Hoop Terminal C</t>
  </si>
  <si>
    <t>FM PACKING CARDBOARD BOX#A</t>
  </si>
  <si>
    <t>FM PACKING CARDBOARD BOX#B</t>
  </si>
  <si>
    <t>FM PACKING PARET BOX</t>
  </si>
  <si>
    <t>FM PAPER TAPE(0.36T)</t>
  </si>
  <si>
    <t>FM PAPER TAPE(0.48T)</t>
  </si>
  <si>
    <t>ADHESIVE TAPE#250 13MM*500M</t>
  </si>
  <si>
    <t>FM PACKING CARDBOARD BOX#C</t>
  </si>
  <si>
    <t>17C SUS OUTER CASE(9.0H)</t>
  </si>
  <si>
    <t>17C ABOVE PLATE(0.6MM)</t>
  </si>
  <si>
    <t>8CCS SUS OUTER CASE(7.8H)</t>
  </si>
  <si>
    <t>8CCV SUS OUTER CASE(7.55H)</t>
  </si>
  <si>
    <t>8LC SUS OUTER CASE(5.1H)</t>
  </si>
  <si>
    <t>8LCS SUS OUTER CASE(5.3H)</t>
  </si>
  <si>
    <t>8LCS ABOVE PLATE (SUS 0.2T)</t>
  </si>
  <si>
    <t>13C SUS OUTER CASE(9.0H)</t>
  </si>
  <si>
    <t>13C ABOVE PLATE(0.6MM)</t>
  </si>
  <si>
    <t>13C SUS OUTER CASE(8.4H)</t>
  </si>
  <si>
    <t>8CC SUS OUTER CASE(7.7H)</t>
  </si>
  <si>
    <t>13C-F BUILT-IN TER. INSULATOR(LF)</t>
  </si>
  <si>
    <t>17C-F BUILT-IN TER. INSULATOR(LF)</t>
  </si>
  <si>
    <t>17C SUS OUTER CASE(10.0H)</t>
  </si>
  <si>
    <t>8LC INSULATOR</t>
  </si>
  <si>
    <t>8LC-F  HOOP TERMINAL (LEAD FREE)</t>
  </si>
  <si>
    <t>8CC INSULATOR</t>
  </si>
  <si>
    <t>8LCS INSULATOR</t>
  </si>
  <si>
    <t>17C RESIN PLATE(NEW)</t>
  </si>
  <si>
    <t>8LCS RESIN PLATE</t>
  </si>
  <si>
    <t>8LC RESIN PLATE</t>
  </si>
  <si>
    <t>13C RESIN PLATE(NEW)</t>
  </si>
  <si>
    <t>13C RESIN PLATE</t>
  </si>
  <si>
    <t>8LC CAREER TAPE</t>
  </si>
  <si>
    <t>FC PACKING BAG 0.03X460X600 NO.20</t>
  </si>
  <si>
    <t>8CC CAREER TAPE</t>
  </si>
  <si>
    <t>13CT CAREER TAPE</t>
  </si>
  <si>
    <t>COVER TAPE 7B(701)25.5X200 AS-3 13CT</t>
  </si>
  <si>
    <t>17CT CAREER TAPE</t>
  </si>
  <si>
    <t>COVER TAPE(8N)37.5X200S</t>
  </si>
  <si>
    <t>8LCS-H SUS OUTER CASE(5.5H)</t>
  </si>
  <si>
    <t>37MTF-NIC-PET BLUE SLEEVE NIC(70.0MM)</t>
  </si>
  <si>
    <t>7G-NIC-PET BLUE SLEEVE NIC(17.1MM)</t>
  </si>
  <si>
    <t>8CCS SUS OUTER CASE(8.1H)</t>
  </si>
  <si>
    <t>NEEDLE NM-28G-13</t>
  </si>
  <si>
    <t>HYDROGEN PEROXIDE35</t>
  </si>
  <si>
    <t>TEFLON TAPE 0.13X6</t>
  </si>
  <si>
    <t>TEFLON TAPE 0.23X5</t>
  </si>
  <si>
    <t>NEEDLE NM-19G-13</t>
  </si>
  <si>
    <t>NEEDLE NM-22G-13</t>
  </si>
  <si>
    <t>NEEDLE NM-23G-13</t>
  </si>
  <si>
    <t>NEEDLE NM-26G-13</t>
  </si>
  <si>
    <t>NEEDLE MN-27G-13(D)</t>
  </si>
  <si>
    <t>NEEDLE MN-30G-13(D)</t>
  </si>
  <si>
    <t>SYRINGE PS 5N</t>
  </si>
  <si>
    <t>SYRINGE PS-10N</t>
  </si>
  <si>
    <t>NEEDLE MN-27G-13 (I)</t>
  </si>
  <si>
    <t>NEEDLE MN-28G-13 (I)</t>
  </si>
  <si>
    <t>NEEDLE MN-30G-13 (I)</t>
  </si>
  <si>
    <t>NEEDLE MN-26G-13 (I)</t>
  </si>
  <si>
    <t>POLYIMIDE TAPE ST-533L8</t>
  </si>
  <si>
    <t>TEFLON TAPE 0.18X5</t>
  </si>
  <si>
    <t>TEFLON TAPE 0.13X4</t>
  </si>
  <si>
    <t>TEFLON TAPE 0.23X4</t>
  </si>
  <si>
    <t>TEFLON TAPE 0.08X13</t>
  </si>
  <si>
    <t>NEEDLE NM-21G-13</t>
  </si>
  <si>
    <t>LUMIRROR TYPE S #12</t>
  </si>
  <si>
    <t>GLASS WOOL (KARAKURI)</t>
  </si>
  <si>
    <t>GLASS WOOL 25TX250X370</t>
  </si>
  <si>
    <t>AFLEX 75N 126NT 100M</t>
  </si>
  <si>
    <t>X-RAY FILM (10X12)</t>
  </si>
  <si>
    <t>DEVELOPER</t>
  </si>
  <si>
    <t>FIXER</t>
  </si>
  <si>
    <t>X-RAY FILM (8X10)</t>
  </si>
  <si>
    <t>DOUBLE BACKING 7X5.3 C.M PERMANENT</t>
  </si>
  <si>
    <t>STICKER P66 X W107 MM REMOVE</t>
  </si>
  <si>
    <t>PRINTING RIBBON SIZE (110 X 210 MM)</t>
  </si>
  <si>
    <t>SHIPPING SLIP (11.4X19 CM)</t>
  </si>
  <si>
    <t>PRINTING RIBBON SIZE (76.2 X 210 MM)</t>
  </si>
  <si>
    <t>INNER BOX FOR 2 REELS</t>
  </si>
  <si>
    <t>BOX FOR AL HOLDER</t>
  </si>
  <si>
    <t>SET</t>
  </si>
  <si>
    <t>INNER BOX FOR ANODE</t>
  </si>
  <si>
    <t>PARTITION FOR ANODE</t>
  </si>
  <si>
    <t>CARTON BOX FOR ANODE</t>
  </si>
  <si>
    <t>BUBBLE SHEET SIZE 23CMX30CM</t>
  </si>
  <si>
    <t>HUMIDITY INDICATOR CARD 5%-10%-60%</t>
  </si>
  <si>
    <t>ALUMINUM  LAMINATE BAG (N)</t>
  </si>
  <si>
    <t>ALUMINUM  LAMINATE BAG (L)</t>
  </si>
  <si>
    <t>ALUMINUM  LAMINATE BAG (N) N.S.</t>
  </si>
  <si>
    <t>PACKING TAPE 2"X45YDS BROWN</t>
  </si>
  <si>
    <t>ALUMINUM  LAMINATE BAG (N)(MSL4)</t>
  </si>
  <si>
    <t>DESICCANT BAG 1/3 UNIT</t>
  </si>
  <si>
    <t>CARTON BOX M1(410 X 380 X 200)</t>
  </si>
  <si>
    <t>CARTON BOX M2(465 X 380 X 200)</t>
  </si>
  <si>
    <t>CARTON BOX S2(380 X 232 X 204)</t>
  </si>
  <si>
    <t>CARTON BOX S3(232 X 195 X 204)</t>
  </si>
  <si>
    <t>SLEEVE PAPER SMALL SIZE (756 X 189)</t>
  </si>
  <si>
    <t>SLEEVE PAPER FOR 5 REELS (590 X 189)</t>
  </si>
  <si>
    <t>SLEEVE PAPER FOR 11 REELS (952 X 189)</t>
  </si>
  <si>
    <t>SINGLE FACE (175 X 175)</t>
  </si>
  <si>
    <t>SLEEVE PAPER FOR SP MAGAZINE</t>
  </si>
  <si>
    <t>STICKER COLOUR RED (032U)</t>
  </si>
  <si>
    <t>STICKER COLOUR LIGHT PINK (509U)</t>
  </si>
  <si>
    <t>STICKER COLOUR BLUE (288U)</t>
  </si>
  <si>
    <t>STICKER COLOUR SKY BLUE (313U)</t>
  </si>
  <si>
    <t>STICKER COLOUR YELLOW (108U)</t>
  </si>
  <si>
    <t>STICKER COLOUR GREEN (355U)</t>
  </si>
  <si>
    <t>STICKER COLOUR ORANGE (021U)</t>
  </si>
  <si>
    <t>STICKER COLOUR DARK PINK (RUBINE RED U)</t>
  </si>
  <si>
    <t>STICKER COLOUR (WHITE)</t>
  </si>
  <si>
    <t>STICKER COLOUR LIGHT GREEN (375U)</t>
  </si>
  <si>
    <t>STICKER COLOUR VIOLET (519U)</t>
  </si>
  <si>
    <t>STICKER COLOUR GREY (7543U)</t>
  </si>
  <si>
    <t>STICKER COLOUR LIGHT BLUE (NO.297U)</t>
  </si>
  <si>
    <t>STICKER COLOUR LIGHT GREEN (NO.365U)</t>
  </si>
  <si>
    <t>STICKER COLOUR LIGHT YELLOW (NO.100U)</t>
  </si>
  <si>
    <t>STICKER COLOUR LIGHT VIOLET (NO.251U)</t>
  </si>
  <si>
    <t>STICKER COLOUR LIGHT ORANGE (NO.134U)</t>
  </si>
  <si>
    <t>STICKER COLOUR LIGHT GREEN (NO.331U)</t>
  </si>
  <si>
    <t>STICKER COLOUR LIGHT BROWN (NO.726U)</t>
  </si>
  <si>
    <t>STICKER 4.4X10CM. DOUBLE</t>
  </si>
  <si>
    <t>STICKER 5X8.5CM. DOUBLE</t>
  </si>
  <si>
    <t>WORKING GLOVES</t>
  </si>
  <si>
    <t>FINGER STALL(S)</t>
  </si>
  <si>
    <t>COTTON CLOTHES (35CMX45CM)</t>
  </si>
  <si>
    <t>FINGER STALL (M)</t>
  </si>
  <si>
    <t>POLY GLOVES</t>
  </si>
  <si>
    <t>PLAM FIT GLOVES (L)</t>
  </si>
  <si>
    <t>PR</t>
  </si>
  <si>
    <t>PLAM FIT GLOVES (M)</t>
  </si>
  <si>
    <t>PLAM FIT GLOVES (S)</t>
  </si>
  <si>
    <t>DICING BLADE 0.8</t>
  </si>
  <si>
    <t>MATERIAL REQUISITION SHEET NEC-0101</t>
  </si>
  <si>
    <t>NON-WOVEN ROLL TS507 100MMX8M</t>
  </si>
  <si>
    <t>BOX</t>
  </si>
  <si>
    <t>MASK 3M-RES-9322A+</t>
  </si>
  <si>
    <t>DIAMOND WHEEL TYPE 1A1R DRWG.NO.TR16617-10</t>
  </si>
  <si>
    <t>DIAMOND WHEEL TYPE 1A1R DRWG.NO.TR16617-3 (REGRIND)</t>
  </si>
  <si>
    <t>DIAMOND BLADE DBBB0911</t>
  </si>
  <si>
    <t>DIAMOND WHEEL TYPE 1A1R DRWG.NO.TR16617-10 (REGRIND)</t>
  </si>
  <si>
    <t>DIAMOND WHEEL TYPE 1A1R DRWG.NO.TR16617-10 (REGRIND2)</t>
  </si>
  <si>
    <t>ACTREL 1178L</t>
  </si>
  <si>
    <t>GLASSY PAPER (WHITE)</t>
  </si>
  <si>
    <t>GLASSY PAPER (GREEN)</t>
  </si>
  <si>
    <t>GLASSY PAPER (YELLOW)</t>
  </si>
  <si>
    <t>GLASSY PAPER (PINK)</t>
  </si>
  <si>
    <t>PAPER A4 80G.</t>
  </si>
  <si>
    <t>PKG</t>
  </si>
  <si>
    <t>PAPER A4 120G.(WHITE COLOR)</t>
  </si>
  <si>
    <t>NEOVAC MR200</t>
  </si>
  <si>
    <t>PAPER A4 120G. (ORANGE)</t>
  </si>
  <si>
    <t>PAPER A4 120G. (YELLOW)</t>
  </si>
  <si>
    <t>SOLMIX-AP7</t>
  </si>
  <si>
    <t>WORK RECORD MN(BLUE)120 GSM 8.5"X14"</t>
  </si>
  <si>
    <t>WORK RECORD (GREEN)120GSM8.5"X14"</t>
  </si>
  <si>
    <t>WORK RECORD NEO(ORANGE)120GSM. 8.5"X 14"</t>
  </si>
  <si>
    <t>WORK RECORD NEO(YELLOW)120GSM 8.5"X 14"</t>
  </si>
  <si>
    <t>TROUBLE REPORT NEW VERSION(NEC-0104)</t>
  </si>
  <si>
    <t>WORK RECORD (PINK)120GSM8.5"X14"</t>
  </si>
  <si>
    <t>SC MARK PLATE FM0H473ZF  8LMF</t>
  </si>
  <si>
    <t>SC MARK PLATE FM0H103ZF  7MF</t>
  </si>
  <si>
    <t>SC MARK PLATE FM0H223ZF  8MF</t>
  </si>
  <si>
    <t>SC MARK PLATE FME0H223ZF  8MEF</t>
  </si>
  <si>
    <t>SC MARK PLATE FME0H473ZF  8LMEF</t>
  </si>
  <si>
    <t>SC MARK PLATE FME0H473ZFN  8LMEFN</t>
  </si>
  <si>
    <t>SC MARK PLATE FML0H333ZF  8MLHF</t>
  </si>
  <si>
    <t>SC MARK PLATE FM0H104ZF  8BMF</t>
  </si>
  <si>
    <t>SC MARK PLATE FMC0H104ZF  8BMCF</t>
  </si>
  <si>
    <t>SC MARK PLATE FM0H224ZF  8CMF</t>
  </si>
  <si>
    <t>SC MARK PLATE FM0V224ZF  8BMVF</t>
  </si>
  <si>
    <t>SC MARK PLATE FMR0H473ZF  8LMRF</t>
  </si>
  <si>
    <t>SC MARK PLATE FMC0H334ZF  10MCF</t>
  </si>
  <si>
    <t>SC MARK PLATE FM0H473ZF-RC  8LM-RC</t>
  </si>
  <si>
    <t>SC MARK PLATE FM0V104ZF 8LMVF</t>
  </si>
  <si>
    <t>SC MARK PLATE FM0H224ZF-NIC 8CMF-NIC</t>
  </si>
  <si>
    <t>SC MARK PLATE FM0H103ZF-NIC 7MF-NIC</t>
  </si>
  <si>
    <t>SC MARK PLATE FMR0H104ZF 8BMRF</t>
  </si>
  <si>
    <t>CLEAN WIPER</t>
  </si>
  <si>
    <t>NEEDLE MN-19G-13</t>
  </si>
  <si>
    <t>NEEDLE MN-20G-13</t>
  </si>
  <si>
    <t>NEEDLE MN-21G-13</t>
  </si>
  <si>
    <t>NEEDLE MN-22G-13</t>
  </si>
  <si>
    <t>SC MARK PLATE FM0G474ZF  10MGF</t>
  </si>
  <si>
    <t>STICKER 4.4X10CM PERMANENT (SC)</t>
  </si>
  <si>
    <t>STICKER LEAD-FREE (SC)</t>
  </si>
  <si>
    <t>SC MARK PLATE FM0V473ZF 8MVF</t>
  </si>
  <si>
    <t>RUBBER BAND SIZE 5 MM</t>
  </si>
  <si>
    <t>SC MARK PLATE FMR0V474ZF 10MGRVF</t>
  </si>
  <si>
    <t>SC MARK PLATE FMR0V104ZF 8LMRVF</t>
  </si>
  <si>
    <t>SC MARK PLATE FM0V224ZF-NIC 8BMVF-NIC</t>
  </si>
  <si>
    <t>SC MARK PLATE FMR0V474ZF-NIC 10MGRVF-NIC</t>
  </si>
  <si>
    <t>SC MARK PLATE FMR0V334ZF 8CMRVF</t>
  </si>
  <si>
    <t>SC MARK PLATE FM0J473ZF  8LMJF</t>
  </si>
  <si>
    <t>SC MARK PLATE FMR0H104ZF-NIC 8BMRF-NIC</t>
  </si>
  <si>
    <t>SC MARK PLATE FMD0H334ZF 10MDF</t>
  </si>
  <si>
    <t>SC MARK PLATE FMU0H334ZF 10MUF</t>
  </si>
  <si>
    <t>SC MARK PLATE FMU0H334ZF-NIC 10MUF-NIC</t>
  </si>
  <si>
    <t>Mark Plate (PSH-LL) S227-02</t>
  </si>
  <si>
    <t>MARK PLATE (NEO) HS337-02</t>
  </si>
  <si>
    <t>Mark Plate (PSH-LL) S157-06</t>
  </si>
  <si>
    <t>Mark Plate (PSH-LL) S227-06</t>
  </si>
  <si>
    <t>Mark Plate (PSH-LL) S226-16</t>
  </si>
  <si>
    <t>Mark Plate (PSH-LL) S336-16</t>
  </si>
  <si>
    <t>MARK PLATE (NEO) HS156-25</t>
  </si>
  <si>
    <t>MARK PLATE (FPU) R107-02</t>
  </si>
  <si>
    <t>MARK PLATE (FPU) R336-06</t>
  </si>
  <si>
    <t>MARK PLATE (FPU) R476-06</t>
  </si>
  <si>
    <t>MARK PLATE (FPU) R105-35</t>
  </si>
  <si>
    <t>MARK PLATE (PSU) S227-02</t>
  </si>
  <si>
    <t>MARK PLATE (PSU) S337-02</t>
  </si>
  <si>
    <t>MARK PLATE (FPU) R226-10</t>
  </si>
  <si>
    <t>MARK PLATE(NEO) A107-02</t>
  </si>
  <si>
    <t>MARK PLATE(NEO) A227-02</t>
  </si>
  <si>
    <t>MARK PLATE (NEO) A336-2.5</t>
  </si>
  <si>
    <t>MARK PLATE(NEO) A337-02</t>
  </si>
  <si>
    <t>MARK PLATE(NEO) A476-02</t>
  </si>
  <si>
    <t>MARK PLATE(NEO) A686-02</t>
  </si>
  <si>
    <t>MARK PLATE(NEO) A106-04</t>
  </si>
  <si>
    <t>MARK PLATE(NEO) A107-04</t>
  </si>
  <si>
    <t>MARK PLATE (NEO) A156-4.0</t>
  </si>
  <si>
    <t>MARK PLATE (NEO) A157-4.0</t>
  </si>
  <si>
    <t>MARK PLATE(NEO) A226-04</t>
  </si>
  <si>
    <t>MARK PLATE(NEO) A227-04</t>
  </si>
  <si>
    <t>MARK PLATE(NEO) A336-04</t>
  </si>
  <si>
    <t>MARK PLATE(NEO) A476-04</t>
  </si>
  <si>
    <t>MARK PLATE (NEO) A685-4.0</t>
  </si>
  <si>
    <t>MARK PLATE(NEO) A686-04</t>
  </si>
  <si>
    <t>MARK PLATE(NEO) A106-06</t>
  </si>
  <si>
    <t>MARK PLATE(NEO) A107-06</t>
  </si>
  <si>
    <t>MARK PLATE(NEO) A156-06</t>
  </si>
  <si>
    <t>MARK PLATE (NEO) A157-6.3</t>
  </si>
  <si>
    <t>MARK PLATE(NEO) A226-06</t>
  </si>
  <si>
    <t>MARK PLATE(NEO) A336-06</t>
  </si>
  <si>
    <t>MARK PLATE (NEO) A475-6.3</t>
  </si>
  <si>
    <t>MARK PLATE(NEO) A476-06</t>
  </si>
  <si>
    <t>MARK PLATE(NEO) A685-06</t>
  </si>
  <si>
    <t>MARK PLATE (NEO) A686-06</t>
  </si>
  <si>
    <t>MARK PLATE(NEO) A106-10</t>
  </si>
  <si>
    <t>MARK PLATE(NEO) A156-10</t>
  </si>
  <si>
    <t>MARK PLATE (NEO) A226-10</t>
  </si>
  <si>
    <t>MARK PLATE(NEO) A335-10</t>
  </si>
  <si>
    <t>MARK PLATE (NEO)A336-10</t>
  </si>
  <si>
    <t>MARK PLATE(NEO) A475-10</t>
  </si>
  <si>
    <t>MARK PLATE(NEO) A476-10</t>
  </si>
  <si>
    <t>MARK PLATE(NEO) A685-10</t>
  </si>
  <si>
    <t>MARK PLATE (NEO) A686-10</t>
  </si>
  <si>
    <t>MARK PLATE (NEO) A106-16</t>
  </si>
  <si>
    <t>MARK PLATE(NEO) A335-16</t>
  </si>
  <si>
    <t>MARK PLATE (NEO) A106-25</t>
  </si>
  <si>
    <t>MARK PLATE (NEO) A335-25</t>
  </si>
  <si>
    <t>MARK PLATE (NEO) A105-35</t>
  </si>
  <si>
    <t>MARK PLATE (NEO) S337-2.0</t>
  </si>
  <si>
    <t>MARK PLATE(NEO) S107-02</t>
  </si>
  <si>
    <t>MARK PLATE(NEO) S127-02</t>
  </si>
  <si>
    <t>MARK PLATE (NEO) S157-2.5</t>
  </si>
  <si>
    <t>MARK PLATE(NEO) S227-02</t>
  </si>
  <si>
    <t>MARK PLATE (NEO)S337-02</t>
  </si>
  <si>
    <t>MARK PLATE(NEO) S477-02</t>
  </si>
  <si>
    <t>MARK PLATE (NEO) S686-2.5</t>
  </si>
  <si>
    <t>MARK PLATE(NEO) S107-04</t>
  </si>
  <si>
    <t>MARK PLATE (NEO) S156-4.0</t>
  </si>
  <si>
    <t>MARK PLATE(NEO) S157-04</t>
  </si>
  <si>
    <t>MARK PLATE(NEO) S226-04</t>
  </si>
  <si>
    <t>MARK PLATE(NEO) S227-04</t>
  </si>
  <si>
    <t>MARK PLATE (NEO) S336-4.0</t>
  </si>
  <si>
    <t>MARK PLATE(NEO) S337-04</t>
  </si>
  <si>
    <t>MARK PLATE(NEO) S476-04</t>
  </si>
  <si>
    <t>MARK PLATE (NEO) S686-4.0</t>
  </si>
  <si>
    <t>MARK PLATE(NEO) S106-06</t>
  </si>
  <si>
    <t>MARK PLATE(NEO) S107-06</t>
  </si>
  <si>
    <t>MARK PLATE(NEO) S156-06</t>
  </si>
  <si>
    <t>MARK PLATE(NEO) S157-06</t>
  </si>
  <si>
    <t>MARK PLATE(NEO) S226-06</t>
  </si>
  <si>
    <t>MARK PLATE(NEO) S227-06</t>
  </si>
  <si>
    <t>MARK PLATE(NEO) S336-06</t>
  </si>
  <si>
    <t>MARK PLATE (NEO) S337-06</t>
  </si>
  <si>
    <t>MARK PLATE(NEO) S476-06</t>
  </si>
  <si>
    <t>MARK PLATE(NEO) S686-06</t>
  </si>
  <si>
    <t>MARK PLATE(NEO) S106-10</t>
  </si>
  <si>
    <t>MARK PLATE(NEO) S107-10</t>
  </si>
  <si>
    <t>MARK PLATE(NEO) S156-10</t>
  </si>
  <si>
    <t>MARK PLATE(NEO) S157-10</t>
  </si>
  <si>
    <t>MARK PLATE(NEO) S226-10</t>
  </si>
  <si>
    <t>MARK PLATE(NEO) S336-10</t>
  </si>
  <si>
    <t>MARK PLATE(NEO) S476-10</t>
  </si>
  <si>
    <t>MARK PLATE(NEO) S626-10</t>
  </si>
  <si>
    <t>MARK PLATE(NEO) S685-10</t>
  </si>
  <si>
    <t>MARK PLATE (NEO) S686-10</t>
  </si>
  <si>
    <t>MARK PLATE(NEO) S106-16</t>
  </si>
  <si>
    <t>MARK PLATE (NEO)S156-16</t>
  </si>
  <si>
    <t>MARK PLATE (NEO) S226-16</t>
  </si>
  <si>
    <t>MARK PLATE (NEO)S276-18</t>
  </si>
  <si>
    <t>MARK PLATE (NEO) S336-16</t>
  </si>
  <si>
    <t>MARK PLATE(NEO) S475-16</t>
  </si>
  <si>
    <t>MARK PLATE (NEO) S476-16</t>
  </si>
  <si>
    <t>MARK PLATE (NEO) S556-16</t>
  </si>
  <si>
    <t>MARK PLATE(NEO) S685-16</t>
  </si>
  <si>
    <t>MARK PLATE (NEO) S106-20</t>
  </si>
  <si>
    <t>MARK PLATE (NEO) S156-20</t>
  </si>
  <si>
    <t>MARK PLATE (NEO) S226-20</t>
  </si>
  <si>
    <t>MARK PLATE (NEO) S336-20</t>
  </si>
  <si>
    <t>MARK PLATE (NEO) S685-20</t>
  </si>
  <si>
    <t>MARK PLATE (NEO)S106-25</t>
  </si>
  <si>
    <t>MARK PLATE (NEO)S156-25</t>
  </si>
  <si>
    <t>MARK PLATE (NEO) S226-25</t>
  </si>
  <si>
    <t>MARK PLATE (NEO) S336-25</t>
  </si>
  <si>
    <t>MARK PLATE (NEO) S475-25</t>
  </si>
  <si>
    <t>MARK PLATE(NEO) S685-25</t>
  </si>
  <si>
    <t>MARK PLATE (NEO) S106-35</t>
  </si>
  <si>
    <t>MARK PLATE (NEO) S156-35</t>
  </si>
  <si>
    <t>MARK PLATE (NEO) S685-35</t>
  </si>
  <si>
    <t>MARK PLATE (FPS) R157-4.0</t>
  </si>
  <si>
    <t>MARK PLATE (FPS) R137-06</t>
  </si>
  <si>
    <t>MARK PLATE (FPS) R157-6.3</t>
  </si>
  <si>
    <t>MARK PLATE (FPS)R476-06</t>
  </si>
  <si>
    <t>MARK PLATE(FPS)R336-10</t>
  </si>
  <si>
    <t>MARK PLATE (FPS) R225-20</t>
  </si>
  <si>
    <t>MARK PLATE(FPS)R106-25</t>
  </si>
  <si>
    <t>MARK PLATE (NEO) S336-18</t>
  </si>
  <si>
    <t>MARK PLATE(FPS)R336-16</t>
  </si>
  <si>
    <t>Mark Plate(FPS)R226-16</t>
  </si>
  <si>
    <t>MARK PLATE(FPS)R336-12.5</t>
  </si>
  <si>
    <t>MARK PLATE(FPS)R107-04</t>
  </si>
  <si>
    <t>MARK PLATE (FPS)R107-06</t>
  </si>
  <si>
    <t>MARK PLATE(FPS)R226-10</t>
  </si>
  <si>
    <t>MARK PLATE(FPS)R476-10</t>
  </si>
  <si>
    <t>MARK PLATE(FPS)R396-15</t>
  </si>
  <si>
    <t>MARK PLATE(FPS) R566-13</t>
  </si>
  <si>
    <t>TP-  282XDFSF-AT</t>
  </si>
  <si>
    <t>TP-  494ADTDF-AT</t>
  </si>
  <si>
    <t>TP-  357ZDTTF-AT</t>
  </si>
  <si>
    <t>TP- 1118PATJF-AT</t>
  </si>
  <si>
    <t>TP- 1598VDGPF-AT</t>
  </si>
  <si>
    <t>TP-  725KCTDF-TT</t>
  </si>
  <si>
    <t>TP-  726KCTDF-TT</t>
  </si>
  <si>
    <t>TP-  252KDTDF-QT</t>
  </si>
  <si>
    <t>TP-  251GCTDF-QT</t>
  </si>
  <si>
    <t>TP-  250GCTDF-QT</t>
  </si>
  <si>
    <t>TP-  249KDTDF-QT</t>
  </si>
  <si>
    <t>TP-  678VCDKF-QT</t>
  </si>
  <si>
    <t>TP-  679VCDKF-QT</t>
  </si>
  <si>
    <t>TP-  677VCDKF-QT</t>
  </si>
  <si>
    <t>TP-  402MDTZF-QT</t>
  </si>
  <si>
    <t>TP-  401MDTZF-QT</t>
  </si>
  <si>
    <t>TP-  682VCTKF-QT</t>
  </si>
  <si>
    <t>TP- 1529VADKF-RT</t>
  </si>
  <si>
    <t>TP- 1422VDTKF-RT</t>
  </si>
  <si>
    <t>TP- 1433VDTKF-RT</t>
  </si>
  <si>
    <t>TP-  622XDFSF-2T</t>
  </si>
  <si>
    <t>TP- 1036KCTDF-2T</t>
  </si>
  <si>
    <t>TP- 1006KDTDF-2T</t>
  </si>
  <si>
    <t>TP- 1094KDTDF-2T</t>
  </si>
  <si>
    <t>TP-  462TDTMF-2T</t>
  </si>
  <si>
    <t>TP- 1705MCTZF-2T</t>
  </si>
  <si>
    <t>TP- 1707MCTZF-2T</t>
  </si>
  <si>
    <t>TP- 1704MCTZF-2T</t>
  </si>
  <si>
    <t>TP- 1709MCTZF-2T</t>
  </si>
  <si>
    <t>TP- 1872MDTZF-2T</t>
  </si>
  <si>
    <t>TP- 1873MDTZF-2T</t>
  </si>
  <si>
    <t>TP- 2585VCGKF-2T</t>
  </si>
  <si>
    <t>TP- 2536VCGKF-2T</t>
  </si>
  <si>
    <t>TP- 2036HDTJF-2T</t>
  </si>
  <si>
    <t>TP- 2587VCGKF-2T</t>
  </si>
  <si>
    <t>TP- 2037HDTJF-2T</t>
  </si>
  <si>
    <t>TP- 2993VPGPF-2T</t>
  </si>
  <si>
    <t>TP- 3489VQGRF-2T</t>
  </si>
  <si>
    <t>TP- 3439VQGRF-2T</t>
  </si>
  <si>
    <t>TP- 1137VCTKF-GT</t>
  </si>
  <si>
    <t>TP- 1100VDDHF-GT</t>
  </si>
  <si>
    <t>TP-  650KDTDF-UT</t>
  </si>
  <si>
    <t>TP- 2063VDDKF-UT</t>
  </si>
  <si>
    <t>TP- 2064VDDKF-UT</t>
  </si>
  <si>
    <t>TP-  847MCTZF-UT</t>
  </si>
  <si>
    <t>TP- 1961VCTKF-UT</t>
  </si>
  <si>
    <t>TP-  488KCTDF-BT</t>
  </si>
  <si>
    <t>TP- 1024KCTDF-BT</t>
  </si>
  <si>
    <t>TP- 1025KCTDF-BT</t>
  </si>
  <si>
    <t>TP-  498XDTMF-BT</t>
  </si>
  <si>
    <t>TP-  499XDTMF-BT</t>
  </si>
  <si>
    <t>TP- 1454VDGKF-BT</t>
  </si>
  <si>
    <t>TP- 1931VDGPF-BT</t>
  </si>
  <si>
    <t>TP- 1741VCTKF-BT</t>
  </si>
  <si>
    <t>TP- 2562VDDRF-BT</t>
  </si>
  <si>
    <t>TP-  743KCTDF-KT</t>
  </si>
  <si>
    <t>TP- 2309VCGKF-KT</t>
  </si>
  <si>
    <t>TG- 1653MDTZF-2T</t>
  </si>
  <si>
    <t>TG- 2537VCGKF-2T</t>
  </si>
  <si>
    <t>TG- 2536VCGKF-2T</t>
  </si>
  <si>
    <t>TG- 2027PDTJF-2T</t>
  </si>
  <si>
    <t>17MUF</t>
  </si>
  <si>
    <t>12HF</t>
  </si>
  <si>
    <t>17HF</t>
  </si>
  <si>
    <t>23HF</t>
  </si>
  <si>
    <t>30HF</t>
  </si>
  <si>
    <t>37HF</t>
  </si>
  <si>
    <t>12AF</t>
  </si>
  <si>
    <t>12AMF</t>
  </si>
  <si>
    <t>23A2F</t>
  </si>
  <si>
    <t>23AF</t>
  </si>
  <si>
    <t>30AF</t>
  </si>
  <si>
    <t>37AF</t>
  </si>
  <si>
    <t>13ECF</t>
  </si>
  <si>
    <t>10EF</t>
  </si>
  <si>
    <t>13EF</t>
  </si>
  <si>
    <t>17EF</t>
  </si>
  <si>
    <t>23EF</t>
  </si>
  <si>
    <t>30EF</t>
  </si>
  <si>
    <t>37EF</t>
  </si>
  <si>
    <t>17LGEF</t>
  </si>
  <si>
    <t>10GHVF</t>
  </si>
  <si>
    <t>13LGVF</t>
  </si>
  <si>
    <t>17LGVF</t>
  </si>
  <si>
    <t>8LGF</t>
  </si>
  <si>
    <t>7GF</t>
  </si>
  <si>
    <t>8GF</t>
  </si>
  <si>
    <t>8BGF</t>
  </si>
  <si>
    <t>8BGHF-S</t>
  </si>
  <si>
    <t>9GHF</t>
  </si>
  <si>
    <t>10GF</t>
  </si>
  <si>
    <t>10LGF</t>
  </si>
  <si>
    <t>10LGRF</t>
  </si>
  <si>
    <t>10LGRHF</t>
  </si>
  <si>
    <t>13GHF</t>
  </si>
  <si>
    <t>8BGHF</t>
  </si>
  <si>
    <t>8CGHF</t>
  </si>
  <si>
    <t>13LGF</t>
  </si>
  <si>
    <t>17GHF</t>
  </si>
  <si>
    <t>17LGF</t>
  </si>
  <si>
    <t>17LGRF</t>
  </si>
  <si>
    <t>13LGRF</t>
  </si>
  <si>
    <t>17GCHQF</t>
  </si>
  <si>
    <t>17GHRF</t>
  </si>
  <si>
    <t>23LGF</t>
  </si>
  <si>
    <t>23LF</t>
  </si>
  <si>
    <t>23LJF</t>
  </si>
  <si>
    <t>23LKF</t>
  </si>
  <si>
    <t>10RF</t>
  </si>
  <si>
    <t>8RF</t>
  </si>
  <si>
    <t>10LRF</t>
  </si>
  <si>
    <t>13LRF</t>
  </si>
  <si>
    <t>10MRF</t>
  </si>
  <si>
    <t>17LRF</t>
  </si>
  <si>
    <t>11LRJF</t>
  </si>
  <si>
    <t>17LRJF</t>
  </si>
  <si>
    <t>13MVF</t>
  </si>
  <si>
    <t>10NF</t>
  </si>
  <si>
    <t>8NF</t>
  </si>
  <si>
    <t>8NHF</t>
  </si>
  <si>
    <t>13MF</t>
  </si>
  <si>
    <t>13NF</t>
  </si>
  <si>
    <t>17MF</t>
  </si>
  <si>
    <t>23MF</t>
  </si>
  <si>
    <t>10JF</t>
  </si>
  <si>
    <t>8NHJF</t>
  </si>
  <si>
    <t>13MKF</t>
  </si>
  <si>
    <t>23MAF</t>
  </si>
  <si>
    <t>23MYDAF</t>
  </si>
  <si>
    <t>17EBF</t>
  </si>
  <si>
    <t>23BF</t>
  </si>
  <si>
    <t>37LYDBF</t>
  </si>
  <si>
    <t>23LYDBF</t>
  </si>
  <si>
    <t>10MTF</t>
  </si>
  <si>
    <t>10YDTF</t>
  </si>
  <si>
    <t>13MTF</t>
  </si>
  <si>
    <t>13MTHF</t>
  </si>
  <si>
    <t>17MTF</t>
  </si>
  <si>
    <t>30MTF</t>
  </si>
  <si>
    <t>37MTF</t>
  </si>
  <si>
    <t>23MTF</t>
  </si>
  <si>
    <t>13MTKF</t>
  </si>
  <si>
    <t>17MTAF</t>
  </si>
  <si>
    <t>8YDVF</t>
  </si>
  <si>
    <t>7YLF</t>
  </si>
  <si>
    <t>10YHF</t>
  </si>
  <si>
    <t>10YLF</t>
  </si>
  <si>
    <t>8YF</t>
  </si>
  <si>
    <t>8YDF</t>
  </si>
  <si>
    <t>8YHF</t>
  </si>
  <si>
    <t>8YLF</t>
  </si>
  <si>
    <t>10MYDF</t>
  </si>
  <si>
    <t>13MYDF</t>
  </si>
  <si>
    <t>13MYHF</t>
  </si>
  <si>
    <t>17MYHF</t>
  </si>
  <si>
    <t>10YDF</t>
  </si>
  <si>
    <t>13YHF</t>
  </si>
  <si>
    <t>17MYHF-H1</t>
  </si>
  <si>
    <t>17LYDF</t>
  </si>
  <si>
    <t>17MYDF</t>
  </si>
  <si>
    <t>23MYHF</t>
  </si>
  <si>
    <t>23LYDF</t>
  </si>
  <si>
    <t>30LYDF</t>
  </si>
  <si>
    <t>8YDJF</t>
  </si>
  <si>
    <t>17MXUF</t>
  </si>
  <si>
    <t>8MVF</t>
  </si>
  <si>
    <t>8BMVF</t>
  </si>
  <si>
    <t>8LMRVF</t>
  </si>
  <si>
    <t>8LMVF</t>
  </si>
  <si>
    <t>10MGRVF</t>
  </si>
  <si>
    <t>8CMRVF</t>
  </si>
  <si>
    <t>10MGF</t>
  </si>
  <si>
    <t>8LMF</t>
  </si>
  <si>
    <t>8LMEF</t>
  </si>
  <si>
    <t>7MF</t>
  </si>
  <si>
    <t>8MF</t>
  </si>
  <si>
    <t>8MEF</t>
  </si>
  <si>
    <t>8LMRF</t>
  </si>
  <si>
    <t>8LMCF</t>
  </si>
  <si>
    <t>8LMPF-RC</t>
  </si>
  <si>
    <t>8LM-RC</t>
  </si>
  <si>
    <t>8MLHF</t>
  </si>
  <si>
    <t>8LMEF-Q</t>
  </si>
  <si>
    <t>8BMF</t>
  </si>
  <si>
    <t>8BMCF</t>
  </si>
  <si>
    <t>8CMF</t>
  </si>
  <si>
    <t>10MCF</t>
  </si>
  <si>
    <t>8BMRF</t>
  </si>
  <si>
    <t>8BMF-RC</t>
  </si>
  <si>
    <t>8BMRF-E</t>
  </si>
  <si>
    <t>10MDF</t>
  </si>
  <si>
    <t>10MUF</t>
  </si>
  <si>
    <t>8LMJF</t>
  </si>
  <si>
    <t>8CCVF</t>
  </si>
  <si>
    <t>8CVF</t>
  </si>
  <si>
    <t>8LCVF</t>
  </si>
  <si>
    <t>8LCVSF</t>
  </si>
  <si>
    <t>8CVSF</t>
  </si>
  <si>
    <t>8CCVSF</t>
  </si>
  <si>
    <t>8CF</t>
  </si>
  <si>
    <t>8CSF</t>
  </si>
  <si>
    <t>13CF</t>
  </si>
  <si>
    <t>8CCF</t>
  </si>
  <si>
    <t>8LCSF</t>
  </si>
  <si>
    <t>8LCF-S</t>
  </si>
  <si>
    <t>8CCSF</t>
  </si>
  <si>
    <t>8LCF</t>
  </si>
  <si>
    <t>8LCFTMF</t>
  </si>
  <si>
    <t>8CCFTMF</t>
  </si>
  <si>
    <t>8LCSFT-FT</t>
  </si>
  <si>
    <t>8LCSF-H</t>
  </si>
  <si>
    <t>8LCSFT-C</t>
  </si>
  <si>
    <t>8LCRF</t>
  </si>
  <si>
    <t>17CF</t>
  </si>
  <si>
    <t>17CF-SS</t>
  </si>
  <si>
    <t>ALUMINUM HOLDER</t>
  </si>
  <si>
    <t>ALUMINUM HOLDER(24)</t>
  </si>
  <si>
    <t>PULSE FSV-A3 L/F(CUT)</t>
  </si>
  <si>
    <t>Pulse ECU-B15-NT L/F</t>
  </si>
  <si>
    <t>Pulse ECU-B3-NT L/F</t>
  </si>
  <si>
    <t>Pulse ECU-B2-NT L/F</t>
  </si>
  <si>
    <t>Pulse ECU-A-NT L/F</t>
  </si>
  <si>
    <t>PULSE FPS-B3 L/F(CUT)</t>
  </si>
  <si>
    <t>PULSE FPS-A2 L/F(CUT)</t>
  </si>
  <si>
    <t>PULSE FPS-A08 L/F(CUT)</t>
  </si>
  <si>
    <t>PULSE FPU-A2 L/F(CUT)</t>
  </si>
  <si>
    <t>PULSE FPS-B10 L/F(CUT)</t>
  </si>
  <si>
    <t>PULSE FPS-B10 Pd L/F(CUT)</t>
  </si>
  <si>
    <t>PULSE FPS-A3 Pd L/F(CUT)</t>
  </si>
  <si>
    <t>PULSE FPS-B3 Pd L/F(CUT)</t>
  </si>
  <si>
    <t>PULSE FPS-B2 L/F(CUT)</t>
  </si>
  <si>
    <t>CARRIER TAPE 8MM T520B 1000 mt/roll Drawing JN02C006 (US016371) (JM310212)</t>
  </si>
  <si>
    <t>ROL</t>
  </si>
  <si>
    <t>CoBr2 humidity indicator card 3000pcs/carton</t>
  </si>
  <si>
    <t>A520A106M010AFNEW4</t>
  </si>
  <si>
    <t>ANODE TANTALUM M2RT3703PH00</t>
  </si>
  <si>
    <t>A520A106M010AFNEW5</t>
  </si>
  <si>
    <t>ANODE TANTALUM M2+93703PH00</t>
  </si>
  <si>
    <t>A520A106M010AFNEW6</t>
  </si>
  <si>
    <t>ANODE TANTALUM M27I3703PH00</t>
  </si>
  <si>
    <t>A520A107M006AFNEW3</t>
  </si>
  <si>
    <t>ANODE TANTALUM S71W1854P100</t>
  </si>
  <si>
    <t>A520A156M010AFNEW1</t>
  </si>
  <si>
    <t>ANODE TANTALUM S70I4653P100</t>
  </si>
  <si>
    <t>A520A156M010AFNEW2</t>
  </si>
  <si>
    <t>ANODE TANTALUM S7434653P100</t>
  </si>
  <si>
    <t>A520A226M010AFNEW2</t>
  </si>
  <si>
    <t>ANODE TANTALUM JUU51004PH00</t>
  </si>
  <si>
    <t>A520A226M010AFNEW3</t>
  </si>
  <si>
    <t>ANODE TANTALUM MEU51004PH00</t>
  </si>
  <si>
    <t>A520A226M010AFNEW4</t>
  </si>
  <si>
    <t>ANODE TANTALUM ME/Y1004PH00</t>
  </si>
  <si>
    <t>A520A226M010AFNEW5</t>
  </si>
  <si>
    <t>ANODE TANTALUM M8Y41034PH00</t>
  </si>
  <si>
    <t>A520A226M010AFNEW6</t>
  </si>
  <si>
    <t>ANODE TANTALUM S7A71434PH00</t>
  </si>
  <si>
    <t>A520A226M010AFNEW7</t>
  </si>
  <si>
    <t>ANODE TANTALUM A79/1494PH00</t>
  </si>
  <si>
    <t>A520A335M016AF9990</t>
  </si>
  <si>
    <t>ANODE TANTALUM EVALUATION</t>
  </si>
  <si>
    <t>A520A335M016AFNEW3</t>
  </si>
  <si>
    <t>ANODE TANTALUM JBKY2243PH00</t>
  </si>
  <si>
    <t>A520A335M016AFNEW4</t>
  </si>
  <si>
    <t>ANODE TANTALUM JUBL3213PH00</t>
  </si>
  <si>
    <t>A520A335M016AFNEW5</t>
  </si>
  <si>
    <t>ANODE TANTALUM MFKY2243PH00</t>
  </si>
  <si>
    <t>A520A335M016AFNEW6</t>
  </si>
  <si>
    <t>ANODE TANTALUM MF5Y2243PH00</t>
  </si>
  <si>
    <t>A520A335M016AFNEW7</t>
  </si>
  <si>
    <t>A520A336M006AFNEW7</t>
  </si>
  <si>
    <t>ANODE TANTALUM MCCQ7223PH00</t>
  </si>
  <si>
    <t>A520A336M006AFNEWA</t>
  </si>
  <si>
    <t>ANODE TANTALUM MC1H7223PH00</t>
  </si>
  <si>
    <t>A520A336M006AF_01</t>
  </si>
  <si>
    <t>PHANTHOM ANODE TANTALUM</t>
  </si>
  <si>
    <t>A520A336M006AF_02</t>
  </si>
  <si>
    <t>PHANTOM ANODE TANTALUM</t>
  </si>
  <si>
    <t>A520A475M010AFNEW3</t>
  </si>
  <si>
    <t>ANODE TANTALUM MF/P1423PH00</t>
  </si>
  <si>
    <t>A520A476M006AFNDWA</t>
  </si>
  <si>
    <t>ANODE TANTALUM R0AV7703PH00</t>
  </si>
  <si>
    <t>A520A476M006AFNEW4</t>
  </si>
  <si>
    <t>ANODE TANTALUM S7951004PH00</t>
  </si>
  <si>
    <t>A520A476M006AFNEW7</t>
  </si>
  <si>
    <t>ANODE TANTALUM R0C67703PH00</t>
  </si>
  <si>
    <t>A520A476M006AFNEW8</t>
  </si>
  <si>
    <t>ANODE TANTALUM R0+/7703PH00</t>
  </si>
  <si>
    <t>A520A476M006AFNEWA</t>
  </si>
  <si>
    <t>A520A476M006AFNEWB</t>
  </si>
  <si>
    <t>ANODE TANTALUM R03F7703PH00</t>
  </si>
  <si>
    <t>A520A476M010AF9990</t>
  </si>
  <si>
    <t>A520A476M010AFNEW2</t>
  </si>
  <si>
    <t>ANODE TANTALUM S7A71434P100</t>
  </si>
  <si>
    <t>A520A476M010AFNEW4</t>
  </si>
  <si>
    <t>ANODE TANTALUM S7A71434P1LU</t>
  </si>
  <si>
    <t>A520A476M010AFNEW5</t>
  </si>
  <si>
    <t>ANODE TANTALUM JVC61074PH00</t>
  </si>
  <si>
    <t>A520A476M010AFNEW6</t>
  </si>
  <si>
    <t>ANODE TANTALUM S7SB1434P100</t>
  </si>
  <si>
    <t>A520A476M010AFNEW7</t>
  </si>
  <si>
    <t>ANODE TANTALUM S7ZD1284P1LU</t>
  </si>
  <si>
    <t>A520A476M010AFNEW8</t>
  </si>
  <si>
    <t>A520A476M010AFNEW9</t>
  </si>
  <si>
    <t>A520A476M010AFNEWA</t>
  </si>
  <si>
    <t>A520A476M010AFNEWB</t>
  </si>
  <si>
    <t>A520A476M010AF_01</t>
  </si>
  <si>
    <t>A520A476M010AS9990</t>
  </si>
  <si>
    <t>A520B106M016AFNEW1</t>
  </si>
  <si>
    <t>ANODE TANTALUM S8C15613PH00</t>
  </si>
  <si>
    <t>A520B107M006AFNEW4</t>
  </si>
  <si>
    <t>ANODE TANTALUM MKQL1574PG00</t>
  </si>
  <si>
    <t>A520B107M006AFNEW7</t>
  </si>
  <si>
    <t>ANODE TANTALUM S5ZG1704PG00</t>
  </si>
  <si>
    <t>A520B107M006AFNEWI</t>
  </si>
  <si>
    <t>ANODE TANTALUM MK$V1574PG00</t>
  </si>
  <si>
    <t>A520B107M006AFNEWJ</t>
  </si>
  <si>
    <t>ANODE TANTALUM MKMQ1574PG00</t>
  </si>
  <si>
    <t>A520B107M006AFNEWK</t>
  </si>
  <si>
    <t>ANODE TANTALUM MK$V1534PG00</t>
  </si>
  <si>
    <t>A520B107M006AFNEWL</t>
  </si>
  <si>
    <t>ANODE TANTALUM MKBF1574PG00</t>
  </si>
  <si>
    <t>A520B107M006AFNEWM</t>
  </si>
  <si>
    <t>ANODE TANTALUM MKZB1574PG00</t>
  </si>
  <si>
    <t>A520B107M006AS9990</t>
  </si>
  <si>
    <t>A520B156M025AF9990</t>
  </si>
  <si>
    <t>A520B156M025AF9995</t>
  </si>
  <si>
    <t>A520B156M025AFNEY1</t>
  </si>
  <si>
    <t>ANODE TANTALUM S6+31054PF00</t>
  </si>
  <si>
    <t>A520B156M025AFNEY2</t>
  </si>
  <si>
    <t>ANODE TANTALUM S62D1054PF00</t>
  </si>
  <si>
    <t>A520B156M025AFNEY3</t>
  </si>
  <si>
    <t>ANODE TANTALUM S6+31054PFLU</t>
  </si>
  <si>
    <t>A520B156M025AFNEY4</t>
  </si>
  <si>
    <t>ANODE TANTALUM S6F41054PFLU</t>
  </si>
  <si>
    <t>A520B156M025AFNEY5</t>
  </si>
  <si>
    <t>ANODE TANTALUM S6+O1054PFLU</t>
  </si>
  <si>
    <t>A520B156M025AFNEY6</t>
  </si>
  <si>
    <t>ANODE TANTALUM QE+31054PG00</t>
  </si>
  <si>
    <t>A520B156M025AFNEY7</t>
  </si>
  <si>
    <t>A520B157M006AFNEW3</t>
  </si>
  <si>
    <t>ANODE TANTALUM QM0D2594P300</t>
  </si>
  <si>
    <t>A520B157M006AFNEW5</t>
  </si>
  <si>
    <t>ANODE TANTALUM QM0/2674PG00</t>
  </si>
  <si>
    <t>A520B157M006AFNEW6</t>
  </si>
  <si>
    <t>ANODE TANTALUM QM0/2694P100</t>
  </si>
  <si>
    <t>A520B157M006AFNEW7</t>
  </si>
  <si>
    <t>ANODE TANTALUM QMQ12694PH00</t>
  </si>
  <si>
    <t>A520B157M006AFNEW8</t>
  </si>
  <si>
    <t>ANODE TANTALUM QM0D2594P3LU</t>
  </si>
  <si>
    <t>A520B157M006AFNEW9</t>
  </si>
  <si>
    <t>ANODE TANTALUM QM0/2694P1LU</t>
  </si>
  <si>
    <t>A520B157M006AFNEWB</t>
  </si>
  <si>
    <t>ANODE TANTALUM QM0/2594PG00</t>
  </si>
  <si>
    <t>A520B157M006AFNEWC</t>
  </si>
  <si>
    <t>ANODE TANTALUM QM0D2514P3LU</t>
  </si>
  <si>
    <t>A520B157M006AFNEWD</t>
  </si>
  <si>
    <t>ANODE TANTALUM QMYV2694P3LU</t>
  </si>
  <si>
    <t>A520B157M006AFNEWE</t>
  </si>
  <si>
    <t>ANODE TANTALUM QMG42784PG00</t>
  </si>
  <si>
    <t>A520B157M006AFNEWF</t>
  </si>
  <si>
    <t>ANODE TANTALUM QMYV2594P3LU</t>
  </si>
  <si>
    <t>A520B157M006AFNEWG</t>
  </si>
  <si>
    <t>ANODE TANTALUM QMG42674PG00</t>
  </si>
  <si>
    <t>A520B157M006AFNEWH</t>
  </si>
  <si>
    <t>A520B157M006AFNEWI</t>
  </si>
  <si>
    <t>A520B157M006AFNEWJ</t>
  </si>
  <si>
    <t>A520B157M006AFNEWK</t>
  </si>
  <si>
    <t>A520B157M006AFNEYL</t>
  </si>
  <si>
    <t>A520B157M006AFNEYM</t>
  </si>
  <si>
    <t>A520B157M006AFNEYN</t>
  </si>
  <si>
    <t>A520B157M006AFNEYO</t>
  </si>
  <si>
    <t>A520B157M006AF_02</t>
  </si>
  <si>
    <t>A520B157M006AF_03</t>
  </si>
  <si>
    <t>A520B157M006AS9990</t>
  </si>
  <si>
    <t>A520B157M006AS9995</t>
  </si>
  <si>
    <t>A520B226M010AFNEW4</t>
  </si>
  <si>
    <t>ANODE TANTALUM JWF41014PH00</t>
  </si>
  <si>
    <t>A520B226M010AFNEW5</t>
  </si>
  <si>
    <t>ANODE TANTALUM JWRC1014PH00</t>
  </si>
  <si>
    <t>A520B226M010AFNEW7</t>
  </si>
  <si>
    <t>ANODE TANTALUM T1RC1014PH00</t>
  </si>
  <si>
    <t>A520B226M025AF9990</t>
  </si>
  <si>
    <t>A520B226M025AFNEW1</t>
  </si>
  <si>
    <t>ANODE TANTALUM S5H.1844PG00</t>
  </si>
  <si>
    <t>A520B226M025AFNEW2</t>
  </si>
  <si>
    <t>ANODE TANTALUM S5CA1844PG00</t>
  </si>
  <si>
    <t>A520B226M025AF_01</t>
  </si>
  <si>
    <t>A520B227M006AFNEW4</t>
  </si>
  <si>
    <t>ANODE TANTALUM S8YM2834P300</t>
  </si>
  <si>
    <t>A520B227M006AFNEW6</t>
  </si>
  <si>
    <t>ANODE TANTALUM S87O2834P300</t>
  </si>
  <si>
    <t>A520B227M006AFNEW7</t>
  </si>
  <si>
    <t>ANODE TANTALUM S5R83124PFLU</t>
  </si>
  <si>
    <t>A520B227M006AFNEW8</t>
  </si>
  <si>
    <t>ANODE TANTALUM S6R83124PFLU</t>
  </si>
  <si>
    <t>A520B227M006AFNEW9</t>
  </si>
  <si>
    <t>ANODE TANTALUM S87O2834P3LU</t>
  </si>
  <si>
    <t>A520B227M006AFNEWA</t>
  </si>
  <si>
    <t>ANODE TANTALUM TL7O2744P300</t>
  </si>
  <si>
    <t>A520B227M006AFNEWB</t>
  </si>
  <si>
    <t>ANODE TANTALUM S8762834P3LU</t>
  </si>
  <si>
    <t>A520B227M006AFNEWC</t>
  </si>
  <si>
    <t>A520B227M006AFNEWD</t>
  </si>
  <si>
    <t>A520B227M006AFNEWG</t>
  </si>
  <si>
    <t>ANODE TANTALUM S56U2844P3LU</t>
  </si>
  <si>
    <t>A520B227M006AFNEWH</t>
  </si>
  <si>
    <t>A520B227M006AF_01</t>
  </si>
  <si>
    <t>A520B227M006AF_02</t>
  </si>
  <si>
    <t>A520B227M006AF_03</t>
  </si>
  <si>
    <t>A520B227M006AS9990</t>
  </si>
  <si>
    <t>A520B227M2R5AFNEW1</t>
  </si>
  <si>
    <t>ANODE TANTALUM S8QJ2024P150</t>
  </si>
  <si>
    <t>A520B227M2R5AFNEW2</t>
  </si>
  <si>
    <t>ANODE TANTALUM S8KN2024P150</t>
  </si>
  <si>
    <t>A520B336M016AFNEW1</t>
  </si>
  <si>
    <t>ANODE TANTALUM S5IR1614P3LU</t>
  </si>
  <si>
    <t>A520B336M016AFNEW2</t>
  </si>
  <si>
    <t>ANODE TANTALUM S5/J1564P3LU</t>
  </si>
  <si>
    <t>A520B336M020AF9990</t>
  </si>
  <si>
    <t>A520B336M020AFNEW1</t>
  </si>
  <si>
    <t>A520B336M020AF_01</t>
  </si>
  <si>
    <t>A520B337M006AF9990</t>
  </si>
  <si>
    <t>A520B337M006AFNDW1</t>
  </si>
  <si>
    <t>ANODE TANTALUM S6WD3404P3LU</t>
  </si>
  <si>
    <t>A520B337M006AFNDW2</t>
  </si>
  <si>
    <t>ANODE TANTALUM S6PB3484P3LU</t>
  </si>
  <si>
    <t>A520B337M006AFNDW3</t>
  </si>
  <si>
    <t>ANODE TANTALUM S61.3404P3LU</t>
  </si>
  <si>
    <t>A520B337M006AFNDY2</t>
  </si>
  <si>
    <t>A520B337M006AFNDY3</t>
  </si>
  <si>
    <t>A520B337M006AFNDY4</t>
  </si>
  <si>
    <t>A520B337M006AFNDY5</t>
  </si>
  <si>
    <t>ANODE TANTALUM S6ML3594P3LU</t>
  </si>
  <si>
    <t>A520B337M006AFNEW1</t>
  </si>
  <si>
    <t>A520B337M006AFNEW2</t>
  </si>
  <si>
    <t>A520B337M006AF_01</t>
  </si>
  <si>
    <t>A520B337M2R5AF9990</t>
  </si>
  <si>
    <t>A520B337M2R5AF9995</t>
  </si>
  <si>
    <t>A520B337M2R5AFNEY2</t>
  </si>
  <si>
    <t>ANODE TANTALUM S8F52604PF00</t>
  </si>
  <si>
    <t>A520B337M2R5AFNEY3</t>
  </si>
  <si>
    <t>ANODE TANTALUM S8F52604PFLU</t>
  </si>
  <si>
    <t>A520B337M2R5AFNEY4</t>
  </si>
  <si>
    <t>ANODE TANTALUM S8F52604P4LU</t>
  </si>
  <si>
    <t>A520B337M2R5AFNEY6</t>
  </si>
  <si>
    <t>ANODE TANTALUM S86H2664PFLU</t>
  </si>
  <si>
    <t>A520B337M2R5AFNEY7</t>
  </si>
  <si>
    <t>ANODE TANTALUM S87K2664PFLU</t>
  </si>
  <si>
    <t>A520B337M2R5AFNEY8</t>
  </si>
  <si>
    <t>ANODE TANTALUM S8EN2664PFLU</t>
  </si>
  <si>
    <t>A520B337M2R5AFNEY9</t>
  </si>
  <si>
    <t>ANODE TANTALUM S81X2744PFLU</t>
  </si>
  <si>
    <t>A520B337M2R5AFNEYA</t>
  </si>
  <si>
    <t>ANODE TANTALUM S8C32664PFLU</t>
  </si>
  <si>
    <t>A520B337M2R5AFNEYB</t>
  </si>
  <si>
    <t>ANODE TANTALUM S6EN2894PFLU</t>
  </si>
  <si>
    <t>A520B337M2R5AFNEYC</t>
  </si>
  <si>
    <t>ANODE TANTALUM T2S$2904PFLU</t>
  </si>
  <si>
    <t>A520B337M2R5AFNEYD</t>
  </si>
  <si>
    <t>ANODE TANTALUM S80R2604PFLU</t>
  </si>
  <si>
    <t>A520B337M2R5AFNEYE</t>
  </si>
  <si>
    <t>A520B337M2R5AFNEYG</t>
  </si>
  <si>
    <t>A520B337M2R5AFNEYH</t>
  </si>
  <si>
    <t>A520B337M2R5AFNEYJ</t>
  </si>
  <si>
    <t>A520B337M2R5AFNEYK</t>
  </si>
  <si>
    <t>A520B337M2R5AFREY8</t>
  </si>
  <si>
    <t>A520B337M2R5AF_01</t>
  </si>
  <si>
    <t>A520B337M2R5AF_02</t>
  </si>
  <si>
    <t>A520B337M2R5AS9990</t>
  </si>
  <si>
    <t>A520B337M2R5ASNEYK</t>
  </si>
  <si>
    <t>A520B476M010AFNEW8</t>
  </si>
  <si>
    <t>ANODE TANTALUM RN$V1314PG00</t>
  </si>
  <si>
    <t>A520B476M010AFNEWA</t>
  </si>
  <si>
    <t>ANODE TANTALUM RNMQ1314PG00</t>
  </si>
  <si>
    <t>A520B476M010AFNEWB</t>
  </si>
  <si>
    <t>ANODE TANTALUM RNBF1314PG00</t>
  </si>
  <si>
    <t>A520B476M010AFNEWC</t>
  </si>
  <si>
    <t>ANODE TANTALUM RNZB1314PG00</t>
  </si>
  <si>
    <t>A520B476M010AF_01</t>
  </si>
  <si>
    <t>A520B477M002AF_01</t>
  </si>
  <si>
    <t>A520B477M006AF9990</t>
  </si>
  <si>
    <t>A520B477M2R5AFNDW1</t>
  </si>
  <si>
    <t>ANODE TANTALUM S6WD3404PFLU</t>
  </si>
  <si>
    <t>A520B477M2R5AFNDW2</t>
  </si>
  <si>
    <t>ANODE TANTALUM S6PB3434PFLU</t>
  </si>
  <si>
    <t>A520B477M2R5AFNDW3</t>
  </si>
  <si>
    <t>ANODE TANTALUM S61.3404PFLU</t>
  </si>
  <si>
    <t>A520B477M2R5AFNDY2</t>
  </si>
  <si>
    <t>A520B477M2R5AFNDY3</t>
  </si>
  <si>
    <t>A520B477M2R5AFNDY4</t>
  </si>
  <si>
    <t>A520B477M2R5AFNEW1</t>
  </si>
  <si>
    <t>A520B477M2R5AFNEW2</t>
  </si>
  <si>
    <t>A520B556M016AF9990</t>
  </si>
  <si>
    <t>A520B556M016AFNEW1</t>
  </si>
  <si>
    <t>ANODE TANTALUM RSK11804P1LU</t>
  </si>
  <si>
    <t>A520B556M016AFNEW2</t>
  </si>
  <si>
    <t>ANODE TANTALUM RSB01804P1LU</t>
  </si>
  <si>
    <t>A520B556M016AFNEW3</t>
  </si>
  <si>
    <t>ANODE TANTALUM RSK12644P1LU</t>
  </si>
  <si>
    <t>A520B556M016AFNEW4</t>
  </si>
  <si>
    <t>ANODE TANTALUM RSB02444P1LU</t>
  </si>
  <si>
    <t>A520B556M016AFNEW5</t>
  </si>
  <si>
    <t>A520B626M011AFNEW4</t>
  </si>
  <si>
    <t>ANODE TANTALUM S52Z1554P300</t>
  </si>
  <si>
    <t>A520B626M011AFNEW8</t>
  </si>
  <si>
    <t>ANODE TANTALUM S5/F1424P300</t>
  </si>
  <si>
    <t>A520B626M011AFNEWB</t>
  </si>
  <si>
    <t>ANODE TANTALUM S52Z1554PG00</t>
  </si>
  <si>
    <t>A520B626M011AFNEWC</t>
  </si>
  <si>
    <t>ANODE TANTALUM S52Z1554P100</t>
  </si>
  <si>
    <t>A520B626M011AFNEWH</t>
  </si>
  <si>
    <t>ANODE TANTALUM QN/F1424PG00</t>
  </si>
  <si>
    <t>A520B626M011AFNEWI</t>
  </si>
  <si>
    <t>ANODE TANTALUM QN/F1424P100</t>
  </si>
  <si>
    <t>A520B626M011AFNEWJ</t>
  </si>
  <si>
    <t>ANODE TANTALUM S5R81554P300</t>
  </si>
  <si>
    <t>A520B626M011AFNEWN</t>
  </si>
  <si>
    <t>ANODE TANTALUM S5+11554P300</t>
  </si>
  <si>
    <t>A520B626M011AFNEWO</t>
  </si>
  <si>
    <t>ANODE TANTALUM S52Z1554P3LU</t>
  </si>
  <si>
    <t>A520B626M011AFNEWP</t>
  </si>
  <si>
    <t>ANODE TANTALUM S5+11554P3LU</t>
  </si>
  <si>
    <t>A520B626M011AFNEWQ</t>
  </si>
  <si>
    <t>ANODE TANTALUM S5+11504P3LU</t>
  </si>
  <si>
    <t>A520B626M011AFNEWR</t>
  </si>
  <si>
    <t>ANODE TANTALUM S50%1614P3LU</t>
  </si>
  <si>
    <t>A520B626M011AFNEY4</t>
  </si>
  <si>
    <t>A520B626M011AF_01</t>
  </si>
  <si>
    <t>A520B685M025AFNEW2</t>
  </si>
  <si>
    <t>ANODE TANTALUM S6G.5473PH00</t>
  </si>
  <si>
    <t>A520D227M010AFNEC1</t>
  </si>
  <si>
    <t>ANODE TANTALUM XL4I6104P300</t>
  </si>
  <si>
    <t>A520M157M006AFNEW3</t>
  </si>
  <si>
    <t>ANODE TANTALUM S6H92224PG00</t>
  </si>
  <si>
    <t>A520M157M006AFNEW4</t>
  </si>
  <si>
    <t>ANODE TANTALUM S6H92184P100</t>
  </si>
  <si>
    <t>A520M157M006AFNEW5</t>
  </si>
  <si>
    <t>ANODE TANTALUM S6H92184PH00</t>
  </si>
  <si>
    <t>A520M157M006AFNEW6</t>
  </si>
  <si>
    <t>ANODE TANTALUM S6H92184P1LU</t>
  </si>
  <si>
    <t>A520M227M006AFNDW1</t>
  </si>
  <si>
    <t>ANODE TANTALUM T2$E3654PG00</t>
  </si>
  <si>
    <t>A520M227M006AFNDW2</t>
  </si>
  <si>
    <t>A520T106M025AFNEW3</t>
  </si>
  <si>
    <t>ANODE TANTALUM S6/98973P1LU</t>
  </si>
  <si>
    <t>A520T106M025AFNEW4</t>
  </si>
  <si>
    <t>ANODE TANTALUM TP/98443P1LU</t>
  </si>
  <si>
    <t>A520T107M004AFNEW1</t>
  </si>
  <si>
    <t>ANODE TANTALUM S6YX1314PH00</t>
  </si>
  <si>
    <t>A520T107M006AFNDW3</t>
  </si>
  <si>
    <t>ANODE TANTALUM S6YD1624PH00</t>
  </si>
  <si>
    <t>A520T107M006AFNEW2</t>
  </si>
  <si>
    <t>ANODE TANTALUM QP2O2104P500</t>
  </si>
  <si>
    <t>A520T107M006AFNEW3</t>
  </si>
  <si>
    <t>A520T107M006AFNEW5</t>
  </si>
  <si>
    <t>ANODE TANTALUM S6YD1384PH00</t>
  </si>
  <si>
    <t>A520T157M006AF9990</t>
  </si>
  <si>
    <t>A520T157M006AFNDW1</t>
  </si>
  <si>
    <t>ANODE TANTALUM T2YR2474P100</t>
  </si>
  <si>
    <t>A520T157M006AFNDW3</t>
  </si>
  <si>
    <t>A520T157M006AFNDWA</t>
  </si>
  <si>
    <t>ANODE TANTALUM T2$E2474PG00</t>
  </si>
  <si>
    <t>A520T157M006AFNDWH</t>
  </si>
  <si>
    <t>ANODE TANTALUM T3$E2474PG00</t>
  </si>
  <si>
    <t>A520T157M006AFNDWI</t>
  </si>
  <si>
    <t>A520T157M006AFNDWJ</t>
  </si>
  <si>
    <t>ANODE TANTALUM T2$E2474PGDS</t>
  </si>
  <si>
    <t>A520T157M006AFNDWL</t>
  </si>
  <si>
    <t>A520T157M006AFNDWM</t>
  </si>
  <si>
    <t>A520T157M006AFNDWN</t>
  </si>
  <si>
    <t>A520T157M006AFNDWO</t>
  </si>
  <si>
    <t>ANODE TANTALUM T2$E2324P100</t>
  </si>
  <si>
    <t>A520T157M006AFNDWP</t>
  </si>
  <si>
    <t>ANODE TANTALUM T3$E2324PG00</t>
  </si>
  <si>
    <t>A520T157M006AFNDWQ</t>
  </si>
  <si>
    <t>ANODE TANTALUM T2$E2434P100</t>
  </si>
  <si>
    <t>A520T157M006AFNDWR</t>
  </si>
  <si>
    <t>ANODE TANTALUM T3$E2434P100</t>
  </si>
  <si>
    <t>A520T157M006AFNDWS</t>
  </si>
  <si>
    <t>ANODE TANTALUM T2K.2304PG00</t>
  </si>
  <si>
    <t>A520T157M006AFNDWT</t>
  </si>
  <si>
    <t>ANODE TANTALUM T2P12304PG00</t>
  </si>
  <si>
    <t>A520T157M006AFNDWU</t>
  </si>
  <si>
    <t>A520T157M006AFNDWV</t>
  </si>
  <si>
    <t>A520T157M006AFNDWW</t>
  </si>
  <si>
    <t>A520T157M006AFNDWX</t>
  </si>
  <si>
    <t>ANODE TANTALUM T2$E2484PG00</t>
  </si>
  <si>
    <t>A520T157M006AFNDWY</t>
  </si>
  <si>
    <t>A520T157M006AFNDWZ</t>
  </si>
  <si>
    <t>A520T157M006AFNEW1</t>
  </si>
  <si>
    <t>ANODE TANTALUM S6NE2064PG00</t>
  </si>
  <si>
    <t>A520T157M006AFNEW2</t>
  </si>
  <si>
    <t>A520T157M006AFNEW3</t>
  </si>
  <si>
    <t>A520T157M006AFNEW4</t>
  </si>
  <si>
    <t>ANODE TANTALUM S6ZK2064PG00</t>
  </si>
  <si>
    <t>A520T157M006AFNEW5</t>
  </si>
  <si>
    <t>A520T157M006AFNEW6</t>
  </si>
  <si>
    <t>A520T157M006AFNEW7</t>
  </si>
  <si>
    <t>ANODE TANTALUM T2ML2494PG00</t>
  </si>
  <si>
    <t>A520T157M006AFNEW8</t>
  </si>
  <si>
    <t>ANODE TANTALUM T2LE2494PG00</t>
  </si>
  <si>
    <t>A520T157M006AFNEW9</t>
  </si>
  <si>
    <t>ANODE TANTALUM T2N$2494PG00</t>
  </si>
  <si>
    <t>A520T157M006AFNEWA</t>
  </si>
  <si>
    <t>ANODE TANTALUM T2$E2554PG00</t>
  </si>
  <si>
    <t>A520T157M006AFNEWB</t>
  </si>
  <si>
    <t>ANODE TANTALUM T2LE2554PG00</t>
  </si>
  <si>
    <t>A520T157M006AFNEWC</t>
  </si>
  <si>
    <t>ANODE TANTALUM T2N$2554PG00</t>
  </si>
  <si>
    <t>A520T157M006AFNEWD</t>
  </si>
  <si>
    <t>ANODE TANTALUM T2P12554PG00</t>
  </si>
  <si>
    <t>A520T157M006AFNEWE</t>
  </si>
  <si>
    <t>ANODE TANTALUM T2ML2554PG00</t>
  </si>
  <si>
    <t>A520T157M006AFNEWF</t>
  </si>
  <si>
    <t>ANODE TANTALUM T2K.2554PG00</t>
  </si>
  <si>
    <t>A520T157M006AFNEWG</t>
  </si>
  <si>
    <t>ANODE TANTALUM T2$$2554PG00</t>
  </si>
  <si>
    <t>A520T157M006AFNEWH</t>
  </si>
  <si>
    <t>ANODE TANTALUM T3$E2554PG00</t>
  </si>
  <si>
    <t>A520T157M006AFNEWI</t>
  </si>
  <si>
    <t>A520T157M006AFRDWV</t>
  </si>
  <si>
    <t>A520T157M006AF_01</t>
  </si>
  <si>
    <t>A520T157M006AF_02</t>
  </si>
  <si>
    <t>A520T157M006AF_03</t>
  </si>
  <si>
    <t>A520T227M2R5AFNDW2</t>
  </si>
  <si>
    <t>ANODE TANTALUM S6TJ1934PH00</t>
  </si>
  <si>
    <t>A520T276M018AF9990</t>
  </si>
  <si>
    <t>A520T276M018AFNDWH</t>
  </si>
  <si>
    <t>A520T276M018AFNDWI</t>
  </si>
  <si>
    <t>A520T276M018AFNEW1</t>
  </si>
  <si>
    <t>ANODE TANTALUM S6K11484P100</t>
  </si>
  <si>
    <t>A520T276M018AFNEW2</t>
  </si>
  <si>
    <t>ANODE TANTALUM S6KM1504P100</t>
  </si>
  <si>
    <t>A520T276M018AFNEW3</t>
  </si>
  <si>
    <t>A520T276M018AFNEW4</t>
  </si>
  <si>
    <t>ANODE TANTALUM S6Z01034P100</t>
  </si>
  <si>
    <t>A520T276M018AFNEW5</t>
  </si>
  <si>
    <t>ANODE TANTALUM QP8T1244P500</t>
  </si>
  <si>
    <t>A520T276M018AFNEW6</t>
  </si>
  <si>
    <t>A520T276M018AFNEW7</t>
  </si>
  <si>
    <t>A520T276M018AFNEW8</t>
  </si>
  <si>
    <t>ANODE TANTALUM S6+%1154P500</t>
  </si>
  <si>
    <t>A520T276M018AFNEW9</t>
  </si>
  <si>
    <t>ANODE TANTALUM S6+%1134P100</t>
  </si>
  <si>
    <t>A520T276M018AFNEWA</t>
  </si>
  <si>
    <t>ANODE TANTALUM S6K11484P1LU</t>
  </si>
  <si>
    <t>A520T276M018AFNEWB</t>
  </si>
  <si>
    <t>ANODE TANTALUM S6**1424P1LU</t>
  </si>
  <si>
    <t>A520T276M018AFNEWD</t>
  </si>
  <si>
    <t>ANODE TANTALUM S6K11484P500</t>
  </si>
  <si>
    <t>A520T276M018AFNEWE</t>
  </si>
  <si>
    <t>ANODE TANTALUM QP8W1154P500</t>
  </si>
  <si>
    <t>A520T276M018AFNEWF</t>
  </si>
  <si>
    <t>A520T276M018AFNEWG</t>
  </si>
  <si>
    <t>A520T276M018AFNEWH</t>
  </si>
  <si>
    <t>A520T276M018AFNEWI</t>
  </si>
  <si>
    <t>A520T276M018AFNEWJ</t>
  </si>
  <si>
    <t>A520T276M018AFNEWK</t>
  </si>
  <si>
    <t>A520T276M018AF_01</t>
  </si>
  <si>
    <t>A520T336M016AF9990</t>
  </si>
  <si>
    <t>A520T336M016AFNEW1</t>
  </si>
  <si>
    <t>ANODE TANTALUM S6Y81704P100</t>
  </si>
  <si>
    <t>A520T336M016AFNEW2</t>
  </si>
  <si>
    <t>ANODE TANTALUM S6Y91704P100</t>
  </si>
  <si>
    <t>A520T336M016AFNEW3</t>
  </si>
  <si>
    <t>ANODE TANTALUM S6Y81724P100</t>
  </si>
  <si>
    <t>A520T336M016AFNEW4</t>
  </si>
  <si>
    <t>ANODE TANTALUM S66R1464P100</t>
  </si>
  <si>
    <t>A520T336M016AFNEW5</t>
  </si>
  <si>
    <t>ANODE TANTALUM S6Y91724P100</t>
  </si>
  <si>
    <t>A520T336M016AFNEW6</t>
  </si>
  <si>
    <t>ANODE TANTALUM S6%01724P100</t>
  </si>
  <si>
    <t>A520T336M016AFNEW7</t>
  </si>
  <si>
    <t>ANODE TANTALUM S6G+1744P100</t>
  </si>
  <si>
    <t>A520T336M016AFNEW8</t>
  </si>
  <si>
    <t>ANODE TANTALUM S6G+1744P1LU</t>
  </si>
  <si>
    <t>A520T336M016AFNEWA</t>
  </si>
  <si>
    <t>ANODE TANTALUM S6G+1744P500</t>
  </si>
  <si>
    <t>A520T336M016AFNEWC</t>
  </si>
  <si>
    <t>A520T336M016AFNEWD</t>
  </si>
  <si>
    <t>ANODE TANTALUM S6.N1554P1LU</t>
  </si>
  <si>
    <t>A520T336M016AFNEWE</t>
  </si>
  <si>
    <t>A520T336M016AF_01</t>
  </si>
  <si>
    <t>A520T476M006AFNEW3</t>
  </si>
  <si>
    <t>ANODE TANTALUM S6Y.1074PH00</t>
  </si>
  <si>
    <t>A520T476M006AFNEW4</t>
  </si>
  <si>
    <t>ANODE TANTALUM S6C41074PH00</t>
  </si>
  <si>
    <t>A520T476M006AFNEW5</t>
  </si>
  <si>
    <t>ANODE TANTALUM S61K1074PH00</t>
  </si>
  <si>
    <t>A520T476M006AFNEW6</t>
  </si>
  <si>
    <t>ANODE TANTALUM S6PQ1074PH00</t>
  </si>
  <si>
    <t>A520T685M025AFNEW1</t>
  </si>
  <si>
    <t>ANODE TANTALUM S6RZ4403P100</t>
  </si>
  <si>
    <t>A520T685M025AFNEW2</t>
  </si>
  <si>
    <t>ANODE TANTALUM S6A.4403P100</t>
  </si>
  <si>
    <t>A520T685M025AFNEW3</t>
  </si>
  <si>
    <t>A521A106M025AFNEW3</t>
  </si>
  <si>
    <t>A521A106M025AFNEW4</t>
  </si>
  <si>
    <t>A521B106M035AFNEW1</t>
  </si>
  <si>
    <t>A521B106M035AFNEW2</t>
  </si>
  <si>
    <t>A521B106M035AFNEW3</t>
  </si>
  <si>
    <t>A521B106M035AFNEW4</t>
  </si>
  <si>
    <t>A521B106M035AFNEW5</t>
  </si>
  <si>
    <t>ANODE TANTALUM S6.$7313PG0</t>
  </si>
  <si>
    <t>A521B336M020AF9990</t>
  </si>
  <si>
    <t>A521B336M020AFNEW2</t>
  </si>
  <si>
    <t>A521B336M020AFNEW3</t>
  </si>
  <si>
    <t>A521B336M020AFNEW4</t>
  </si>
  <si>
    <t>A521D157M016ASE055</t>
  </si>
  <si>
    <t>ANODE TANTALUM WAQW6404P3LU</t>
  </si>
  <si>
    <t>A521V107M020AF9990</t>
  </si>
  <si>
    <t>A527G226M013AFNDW2</t>
  </si>
  <si>
    <t>ANODE TANTALUM M72C1054P8KD</t>
  </si>
  <si>
    <t>A527G226M013AFNDW3</t>
  </si>
  <si>
    <t>ANODE TANTALUM M7YA1054P8KD</t>
  </si>
  <si>
    <t>A527G226M016AF9990</t>
  </si>
  <si>
    <t>A527G226M016AF_01</t>
  </si>
  <si>
    <t>A527G226M016AF_02</t>
  </si>
  <si>
    <t>A527G276M013AFNEW1</t>
  </si>
  <si>
    <t>ANODE TANTALUM M3GR1024PK00</t>
  </si>
  <si>
    <t>A527H107M006AFNDW1</t>
  </si>
  <si>
    <t>ANODE TANTALUM M7QR1434P8KD</t>
  </si>
  <si>
    <t>A527I107M006AF9990</t>
  </si>
  <si>
    <t>A527I107M006AFNDX3</t>
  </si>
  <si>
    <t>ANODE TANTALUM Q96/1224P850</t>
  </si>
  <si>
    <t>A527I107M006AFNDX7</t>
  </si>
  <si>
    <t>ANODE TANTALUM Q96/1224P800</t>
  </si>
  <si>
    <t>A527I107M006AFNDXD</t>
  </si>
  <si>
    <t>ANODE TANTALUM Q96/1224P8KD</t>
  </si>
  <si>
    <t>A527I107M006AFNDXE</t>
  </si>
  <si>
    <t>ANODE TANTALUM M52E1434P800</t>
  </si>
  <si>
    <t>A527I107M006AFNDXF</t>
  </si>
  <si>
    <t>ANODE TANTALUM Q9%F1444P800</t>
  </si>
  <si>
    <t>A527I107M006AFNDXG</t>
  </si>
  <si>
    <t>ANODE TANTALUM YB%F1444P800</t>
  </si>
  <si>
    <t>A527I107M006AFNDXH</t>
  </si>
  <si>
    <t>ANODE TANTALUM YB6/1224P850</t>
  </si>
  <si>
    <t>A527I107M006AFNDXI</t>
  </si>
  <si>
    <t>ANODE TANTALUM YB6/1224P800</t>
  </si>
  <si>
    <t>A527I107M006AFNDXJ</t>
  </si>
  <si>
    <t>ANODE TANTALUM Q9%F1444P8KD</t>
  </si>
  <si>
    <t>A527I107M006AFNDXK</t>
  </si>
  <si>
    <t>A527I107M006AFNDXL</t>
  </si>
  <si>
    <t>A527I107M006AFNDXM</t>
  </si>
  <si>
    <t>A527I107M006AFNDXN</t>
  </si>
  <si>
    <t>ANODE TANTALUM Q9QJ1344P800</t>
  </si>
  <si>
    <t>A527I107M006AFNDXO</t>
  </si>
  <si>
    <t>A527I107M006AFNDXP</t>
  </si>
  <si>
    <t>A527I107M006AFNDXQ</t>
  </si>
  <si>
    <t>A527I107M006AFNEX1</t>
  </si>
  <si>
    <t>ANODE TANTALUM Q9Y61224P800</t>
  </si>
  <si>
    <t>A527I107M006AFNEX2</t>
  </si>
  <si>
    <t>A527I107M006AFNEX3</t>
  </si>
  <si>
    <t>A527I107M006AFNEX4</t>
  </si>
  <si>
    <t>ANODE TANTALUM Q9Y61224P850</t>
  </si>
  <si>
    <t>A527I107M006AFNEX7</t>
  </si>
  <si>
    <t>A527I107M006AFNEX8</t>
  </si>
  <si>
    <t>ANODE TANTALUM Q9EM1404P85D</t>
  </si>
  <si>
    <t>A527I107M006AFNEXA</t>
  </si>
  <si>
    <t>ANODE TANTALUM Q9$F1434P85D</t>
  </si>
  <si>
    <t>A527I107M006AFNEXC</t>
  </si>
  <si>
    <t>ANODE TANTALUM Q92E1444P850</t>
  </si>
  <si>
    <t>A527I107M006AFNEXD</t>
  </si>
  <si>
    <t>A527I107M006AF_01</t>
  </si>
  <si>
    <t>A527I107M006AF_02</t>
  </si>
  <si>
    <t>A527I107M006AF_03</t>
  </si>
  <si>
    <t>A527I137M006AF9990</t>
  </si>
  <si>
    <t>A527I157M006AFNDX1</t>
  </si>
  <si>
    <t>ANODE EVALUATION</t>
  </si>
  <si>
    <t>A527I157M006AFNDX2</t>
  </si>
  <si>
    <t>A527I157M006AFNDX3</t>
  </si>
  <si>
    <t>A527I476M006AFNEX2</t>
  </si>
  <si>
    <t>ANODE TANTALUM Q97/1164P800</t>
  </si>
  <si>
    <t>A527I476M006AFNEX3</t>
  </si>
  <si>
    <t>ANODE TANTALUM Q97/1164P850</t>
  </si>
  <si>
    <t>A527I476M006AFNEX4</t>
  </si>
  <si>
    <t>ANODE TANTALUM Q9Y71164P850</t>
  </si>
  <si>
    <t>A527I476M006AFNEX7</t>
  </si>
  <si>
    <t>A527I476M010AFNEX1</t>
  </si>
  <si>
    <t>ANODE TANTALUM Q9N11424P850</t>
  </si>
  <si>
    <t>A527I476M010AFNEX2</t>
  </si>
  <si>
    <t>ANODE TANTALUM Q9$71424P850</t>
  </si>
  <si>
    <t>A527K156M025AFNEW1</t>
  </si>
  <si>
    <t xml:space="preserve">ANODE TANTALUM EVALUATION   </t>
  </si>
  <si>
    <t>A527O106M016AFNDX1</t>
  </si>
  <si>
    <t>A527O136M012AFNDX1</t>
  </si>
  <si>
    <t>A527O136M012AFNDX2</t>
  </si>
  <si>
    <t>A527O136M012AFNDX3</t>
  </si>
  <si>
    <t>A527O136M012AFNDX4</t>
  </si>
  <si>
    <t>A527O476M006AFNDX1</t>
  </si>
  <si>
    <t>A527T156M025AFNEW1</t>
  </si>
  <si>
    <t>ANODE TANTALUM XI8V1034PG00</t>
  </si>
  <si>
    <t>A527T156M025AFNEW2</t>
  </si>
  <si>
    <t>ANODE TANTALUM XIRR1034PG00</t>
  </si>
  <si>
    <t>A527T156M025AFNEW3</t>
  </si>
  <si>
    <t>A527T156M025AF_01</t>
  </si>
  <si>
    <t>A527T226M025AF_01</t>
  </si>
  <si>
    <t>A527T336M018AF9990</t>
  </si>
  <si>
    <t>A527T336M018AFNDW1</t>
  </si>
  <si>
    <t>A527T336M018AFNDW2</t>
  </si>
  <si>
    <t>A527T406M018AF9990</t>
  </si>
  <si>
    <t>A527T685M035AFNEW1</t>
  </si>
  <si>
    <t>ANODE TANTALUM XIUV4983PG00</t>
  </si>
  <si>
    <t>A527T685M035AFNEW2</t>
  </si>
  <si>
    <t>ANODE TANTALUM XIM04983PG00</t>
  </si>
  <si>
    <t>A527T685M035AFNEW3</t>
  </si>
  <si>
    <t>ANODE TANTALUM XI304983PG00</t>
  </si>
  <si>
    <t>A527T685M035AFNEW4</t>
  </si>
  <si>
    <t>ANODE TANTALUM XIZE4983PG00</t>
  </si>
  <si>
    <t>A527T685M035AFNEW5</t>
  </si>
  <si>
    <t>ANODE TANTALUM XI.84983PG00</t>
  </si>
  <si>
    <t>A527T685M035AFNEW6</t>
  </si>
  <si>
    <t>ANODE TANTALUM XIZF4983PG00</t>
  </si>
  <si>
    <t>A527T685M040AF9990</t>
  </si>
  <si>
    <t>A527T685M040AFNEW1</t>
  </si>
  <si>
    <t>A527U306M018AFNDW1</t>
  </si>
  <si>
    <t>ANODE TANTALUM M9E11824PKKD</t>
  </si>
  <si>
    <t>A527U396M015AF9990</t>
  </si>
  <si>
    <t>A527U396M015AFNDW1</t>
  </si>
  <si>
    <t>ANODE TANTALUM MIGH1874PK00</t>
  </si>
  <si>
    <t>A527U396M015AFNDW2</t>
  </si>
  <si>
    <t>ANODE TANTALUM MI8J1874PK00</t>
  </si>
  <si>
    <t>A527U396M015AFNDW3</t>
  </si>
  <si>
    <t>ANODE TANTALUM MIL$1964PK00</t>
  </si>
  <si>
    <t>A527U396M015AFNDW4</t>
  </si>
  <si>
    <t>ANODE TANTALUM M9JX1924PK00</t>
  </si>
  <si>
    <t>A527U396M015AFNDW5</t>
  </si>
  <si>
    <t>ANODE TANTALUM M9E11824PK00</t>
  </si>
  <si>
    <t>A527U396M015AFNDW6</t>
  </si>
  <si>
    <t>ANODE TANTALUM M9JX1924PKKD</t>
  </si>
  <si>
    <t>A527U396M015AFNDW7</t>
  </si>
  <si>
    <t>ANODE TANTALUM M9EM1924PKKD</t>
  </si>
  <si>
    <t>A527U396M015AFNDW8</t>
  </si>
  <si>
    <t>A527U396M015AFNDW9</t>
  </si>
  <si>
    <t>A527U396M015AFNDWA</t>
  </si>
  <si>
    <t>A527U396M015AFNDWB</t>
  </si>
  <si>
    <t>ANODE TANTALUM M9$S1684PK00</t>
  </si>
  <si>
    <t>A527U396M015AFNDWC</t>
  </si>
  <si>
    <t>A527U396M015AFNEW1</t>
  </si>
  <si>
    <t>ANODE TANTALUM MIGH1754PK00</t>
  </si>
  <si>
    <t>A527U396M015AFRDWC</t>
  </si>
  <si>
    <t>A527U396M015AF_01</t>
  </si>
  <si>
    <t>A527U396M015AF_02</t>
  </si>
  <si>
    <t>A527U566M013AF9990</t>
  </si>
  <si>
    <t>A527U566M013AF9995</t>
  </si>
  <si>
    <t>A527U566M013AFNDW3</t>
  </si>
  <si>
    <t>ANODE TANTALUM MIN62014PK00</t>
  </si>
  <si>
    <t>A527U566M013AFNDW5</t>
  </si>
  <si>
    <t>ANODE TANTALUM MIY12114PK00</t>
  </si>
  <si>
    <t>A527U566M013AFNDW7</t>
  </si>
  <si>
    <t>ANODE TANTALUM MIN62014PKKD</t>
  </si>
  <si>
    <t>A527U566M013AFNDW8</t>
  </si>
  <si>
    <t>ANODE TANTALUM YAN62014PK00</t>
  </si>
  <si>
    <t>A527U566M013AFNDW9</t>
  </si>
  <si>
    <t>A527U566M013AFNEW1</t>
  </si>
  <si>
    <t>ANODE TANTALUM MIN62034PK00</t>
  </si>
  <si>
    <t>A527U566M013AFNEW2</t>
  </si>
  <si>
    <t>ANODE TANTALUM MIY12124PK00</t>
  </si>
  <si>
    <t>A527U566M013AFNEW3</t>
  </si>
  <si>
    <t>A527U566M013AFNEW5</t>
  </si>
  <si>
    <t>A527U566M013AF_01</t>
  </si>
  <si>
    <t>A529P226M006AF_01</t>
  </si>
  <si>
    <t>A529P475M025AFNEY1</t>
  </si>
  <si>
    <t>ANODE TANTALUM IB9.2753P800</t>
  </si>
  <si>
    <t>A529P475M025AFNEY2</t>
  </si>
  <si>
    <t>ANODE TANTALUM IB9.2463P800</t>
  </si>
  <si>
    <t>A529P475M025AFNEY3</t>
  </si>
  <si>
    <t>ANODE TANTALUM IBQ-2753P800</t>
  </si>
  <si>
    <t>A529P475M025AFNEY4</t>
  </si>
  <si>
    <t>ANODE TANTALUM IBQ-2463P800</t>
  </si>
  <si>
    <t>A529P475M025AF_01</t>
  </si>
  <si>
    <t>A529P476M006AFNEY1</t>
  </si>
  <si>
    <t>ANODE TANTALUM IAW66723P800</t>
  </si>
  <si>
    <t>A529P476M006AFNEY2</t>
  </si>
  <si>
    <t>ANODE TANTALUM IAYA6723P800</t>
  </si>
  <si>
    <t>A529P476M006AFNEY3</t>
  </si>
  <si>
    <t>ANODE TANTALUM IAYA6723P850</t>
  </si>
  <si>
    <t>A529P476M006AFNEY5</t>
  </si>
  <si>
    <t>ANODE TANTALUM IAZ/6783P800</t>
  </si>
  <si>
    <t>A597U105M035AFNDX3</t>
  </si>
  <si>
    <t>A597U105M035AFNDX4</t>
  </si>
  <si>
    <t>A597U105M035AFNDX5</t>
  </si>
  <si>
    <t>A597U226M010AFNDX1</t>
  </si>
  <si>
    <t>A597U226M010AFNDX2</t>
  </si>
  <si>
    <t>A597U226M010AFNDX3</t>
  </si>
  <si>
    <t>A597U226M010AFNDX4</t>
  </si>
  <si>
    <t>BP-FM0H473ZFTP18</t>
  </si>
  <si>
    <t>FM TYPE SUPER CAPACITOR</t>
  </si>
  <si>
    <t>F11-06856</t>
  </si>
  <si>
    <t>F32-21190</t>
  </si>
  <si>
    <t>F32-21191</t>
  </si>
  <si>
    <t>F32-21192</t>
  </si>
  <si>
    <t>F32-21531</t>
  </si>
  <si>
    <t>F34-22103</t>
  </si>
  <si>
    <t>FA0H104ZF</t>
  </si>
  <si>
    <t>FA0H105ZF</t>
  </si>
  <si>
    <t>FA0H224ZF</t>
  </si>
  <si>
    <t>FA0H473ZF</t>
  </si>
  <si>
    <t>FA0H474ZF</t>
  </si>
  <si>
    <t>FA1A104ZF</t>
  </si>
  <si>
    <t>FA1A223ZF</t>
  </si>
  <si>
    <t>FA1A224ZF</t>
  </si>
  <si>
    <t>FA1A224ZF-1</t>
  </si>
  <si>
    <t>FA1A433ZF</t>
  </si>
  <si>
    <t>FA1A474ZF</t>
  </si>
  <si>
    <t>FAW0H473ZF</t>
  </si>
  <si>
    <t>FAW1A223ZF</t>
  </si>
  <si>
    <t>FC-LM035224AF</t>
  </si>
  <si>
    <t>FC-LM035474AF</t>
  </si>
  <si>
    <t>FT TYPE SUPER CAPACITOR</t>
  </si>
  <si>
    <t>FC-LM055104AF</t>
  </si>
  <si>
    <t>FC-LM055105AF</t>
  </si>
  <si>
    <t>FC-LM055224AF</t>
  </si>
  <si>
    <t>FC TYPE SUPER CAPACITOR</t>
  </si>
  <si>
    <t>FC-LM055473AF</t>
  </si>
  <si>
    <t>FC-LM055474AF</t>
  </si>
  <si>
    <t>FC0H104ZFTBR24</t>
  </si>
  <si>
    <t>FC0H104ZFTBR24-NIC</t>
  </si>
  <si>
    <t>FC0H104ZFTBR24-S</t>
  </si>
  <si>
    <t>FC0H104ZFTBR24-SW5</t>
  </si>
  <si>
    <t>FC0H104ZFTBR24M</t>
  </si>
  <si>
    <t>FC0H105ZFTBR44</t>
  </si>
  <si>
    <t>FC0H105ZFTBR44-NIC</t>
  </si>
  <si>
    <t>FC0H105ZFTBR44-S</t>
  </si>
  <si>
    <t>FC0H105ZFTBR44-SS</t>
  </si>
  <si>
    <t>FC0H105ZFTBR44-SSBM</t>
  </si>
  <si>
    <t>FC0H224ZFTBR24</t>
  </si>
  <si>
    <t>FC0H224ZFTBR24-NIC</t>
  </si>
  <si>
    <t>FC0H224ZFTBR24-SW5</t>
  </si>
  <si>
    <t>FC0H224ZFTBR24M</t>
  </si>
  <si>
    <t>FC0H473ZFTBR24</t>
  </si>
  <si>
    <t>FC0H473ZFTBR24-NIC</t>
  </si>
  <si>
    <t>FC0H473ZFTBR24-SW5</t>
  </si>
  <si>
    <t>FC0H473ZFTBR24BM</t>
  </si>
  <si>
    <t>FC0H474ZFTBR32</t>
  </si>
  <si>
    <t>FC0H474ZFTBR32-R</t>
  </si>
  <si>
    <t>FC0H474ZFTBR32-RNIC</t>
  </si>
  <si>
    <t>FC0H474ZFTBR32-S</t>
  </si>
  <si>
    <t>FC0H474ZFTBR32-SS</t>
  </si>
  <si>
    <t>FC0V104ZFTBR24</t>
  </si>
  <si>
    <t>FC0V104ZFTBR24-NIC</t>
  </si>
  <si>
    <t>FC0V224ZFTBR24</t>
  </si>
  <si>
    <t>FC0V224ZFTBR24-NIC</t>
  </si>
  <si>
    <t>FC0V474ZFTBR24</t>
  </si>
  <si>
    <t>FC0V474ZFTBR24-G</t>
  </si>
  <si>
    <t>FC0V474ZFTBR24-NIC</t>
  </si>
  <si>
    <t>FCR0H104ZFTBR24</t>
  </si>
  <si>
    <t>FCS-LMT035474AF</t>
  </si>
  <si>
    <t>FCS0H104ZFTBR24</t>
  </si>
  <si>
    <t>FCS0H104ZFTBR24-C</t>
  </si>
  <si>
    <t>FCS0H104ZFTBR24-FT</t>
  </si>
  <si>
    <t>FCS0H104ZFTBR24-H</t>
  </si>
  <si>
    <t>FCS0H104ZFTBR24-L3S6</t>
  </si>
  <si>
    <t>FCS0H104ZFTBR24-NIC</t>
  </si>
  <si>
    <t>FCS0H104ZFTBR24-PAS</t>
  </si>
  <si>
    <t>FCS0H224ZFTBR24</t>
  </si>
  <si>
    <t>FCS0H224ZFTBR24-L3S6</t>
  </si>
  <si>
    <t>FCS0H224ZFTBR24-NIC</t>
  </si>
  <si>
    <t>FCS0H473ZFTBR24</t>
  </si>
  <si>
    <t>FCS0H473ZFTBR24-NIC</t>
  </si>
  <si>
    <t>FCS0V104ZFTBR24</t>
  </si>
  <si>
    <t>FCS0V104ZFTBR24-NIC</t>
  </si>
  <si>
    <t>FCS0V224ZFTBR24</t>
  </si>
  <si>
    <t>FCS0V224ZFTBR24-NIC</t>
  </si>
  <si>
    <t>FCS0V474ZFTBR24</t>
  </si>
  <si>
    <t>FCS0V474ZFTBR24-NIC</t>
  </si>
  <si>
    <t>FE-LF055104AF</t>
  </si>
  <si>
    <t>FE-LF055105AF</t>
  </si>
  <si>
    <t>FE-LF055155AF</t>
  </si>
  <si>
    <t>FE-LF055224AF</t>
  </si>
  <si>
    <t>FE-LF055474AF</t>
  </si>
  <si>
    <t>FE0C304NF</t>
  </si>
  <si>
    <t>FE0H104ZF</t>
  </si>
  <si>
    <t>FE0H105ZF</t>
  </si>
  <si>
    <t>FE0H105ZF-R</t>
  </si>
  <si>
    <t>FE0H155ZF</t>
  </si>
  <si>
    <t>FE0H224ZF</t>
  </si>
  <si>
    <t>FE0H473ZF</t>
  </si>
  <si>
    <t>FE0H474ZF</t>
  </si>
  <si>
    <t>FEW0H105ZF-R</t>
  </si>
  <si>
    <t>FEW0H474ZF</t>
  </si>
  <si>
    <t>FG-LX055103AF</t>
  </si>
  <si>
    <t>FG-LX055104AF</t>
  </si>
  <si>
    <t>FG-LX055105AF</t>
  </si>
  <si>
    <t>FG-LX055224AF</t>
  </si>
  <si>
    <t>FG-LX055225AF</t>
  </si>
  <si>
    <t>FG-LX055474AF</t>
  </si>
  <si>
    <t>FG-LX055475AF</t>
  </si>
  <si>
    <t>FG0E405ZF</t>
  </si>
  <si>
    <t>FG0H103ZF</t>
  </si>
  <si>
    <t>FG0H103ZF-NIC</t>
  </si>
  <si>
    <t>FG0H104ZF</t>
  </si>
  <si>
    <t>FG0H104ZF-NIC</t>
  </si>
  <si>
    <t>FG0H105ZF</t>
  </si>
  <si>
    <t>FG0H105ZF-L3S5</t>
  </si>
  <si>
    <t>FG0H105ZF-NIC</t>
  </si>
  <si>
    <t>FG0H105ZF-R</t>
  </si>
  <si>
    <t>FG0H105ZF-SH</t>
  </si>
  <si>
    <t>FG0H105ZF-SHL3S5</t>
  </si>
  <si>
    <t>FG0H223ZF</t>
  </si>
  <si>
    <t>FG0H223ZF-L2S5</t>
  </si>
  <si>
    <t>FG0H224ZF</t>
  </si>
  <si>
    <t>FG0H224ZF-NIC</t>
  </si>
  <si>
    <t>FG0H225ZF</t>
  </si>
  <si>
    <t>FG0H225ZF-NIC</t>
  </si>
  <si>
    <t>FG0H225ZF-R</t>
  </si>
  <si>
    <t>FG0H473ZF</t>
  </si>
  <si>
    <t>FG0H474ZF</t>
  </si>
  <si>
    <t>FG0H474ZF-NIC</t>
  </si>
  <si>
    <t>FG0H474ZF-SH</t>
  </si>
  <si>
    <t>FG0H474ZFC</t>
  </si>
  <si>
    <t>FG0H475ZF</t>
  </si>
  <si>
    <t>FG0H475ZF-NIC</t>
  </si>
  <si>
    <t>FG0V155ZF</t>
  </si>
  <si>
    <t>FG0V155ZF-BS</t>
  </si>
  <si>
    <t>FG0V155ZF-R</t>
  </si>
  <si>
    <t>FG0V155ZF-RL3</t>
  </si>
  <si>
    <t>FG0V155ZF-S8</t>
  </si>
  <si>
    <t>FG0V335ZF-RL3</t>
  </si>
  <si>
    <t>FGC0H105QF-RP5</t>
  </si>
  <si>
    <t>FGH0H104ZF</t>
  </si>
  <si>
    <t>FGH0H104ZF-S</t>
  </si>
  <si>
    <t>FGH0H105ZF</t>
  </si>
  <si>
    <t>FGH0H105ZF-P5</t>
  </si>
  <si>
    <t>FGH0H105ZF-R</t>
  </si>
  <si>
    <t>FGH0H105ZF-R3</t>
  </si>
  <si>
    <t>FGH0H105ZFC-P5</t>
  </si>
  <si>
    <t>FGH0H154ZF</t>
  </si>
  <si>
    <t>FGH0H154ZF-H5E</t>
  </si>
  <si>
    <t>FGH0H154ZF-LE</t>
  </si>
  <si>
    <t>FGH0H224ZF</t>
  </si>
  <si>
    <t>FGH0H474ZF</t>
  </si>
  <si>
    <t>FGH0H474ZF-WCP</t>
  </si>
  <si>
    <t>FGH0V474ZF</t>
  </si>
  <si>
    <t>FGH0V474ZF-R</t>
  </si>
  <si>
    <t>FGR0H105ZF</t>
  </si>
  <si>
    <t>FGR0H105ZF-ESD</t>
  </si>
  <si>
    <t>FGR0H105ZF-L3</t>
  </si>
  <si>
    <t>FGR0H105ZF-NIC</t>
  </si>
  <si>
    <t>FGR0H225ZF</t>
  </si>
  <si>
    <t>FGR0H225ZF-NIC</t>
  </si>
  <si>
    <t>FGR0H474ZF</t>
  </si>
  <si>
    <t>FGR0H474ZF-H</t>
  </si>
  <si>
    <t>FGR0H474ZF-NIC</t>
  </si>
  <si>
    <t>FGW0H224ZF</t>
  </si>
  <si>
    <t>FL0H474ZF</t>
  </si>
  <si>
    <t>FL0J404ZF</t>
  </si>
  <si>
    <t>FL0K224ZF</t>
  </si>
  <si>
    <t>FM0G474ZF</t>
  </si>
  <si>
    <t>FM0G474ZFTP18</t>
  </si>
  <si>
    <t>FM0H103ZF</t>
  </si>
  <si>
    <t>FM0H103ZF-L3</t>
  </si>
  <si>
    <t>FM0H103ZF-NIC</t>
  </si>
  <si>
    <t>FM0H103ZFTP16</t>
  </si>
  <si>
    <t>FM0H103ZFTP18</t>
  </si>
  <si>
    <t>FM0H103ZFTP18-D</t>
  </si>
  <si>
    <t>FM0H103ZFTP18-NIC</t>
  </si>
  <si>
    <t>FM0H104ZF</t>
  </si>
  <si>
    <t>FM0H104ZF-L1</t>
  </si>
  <si>
    <t>FM0H104ZF-L1L3</t>
  </si>
  <si>
    <t>FM0H104ZF-NIC</t>
  </si>
  <si>
    <t>FM0H104ZF-RC</t>
  </si>
  <si>
    <t>FM0H104ZFTP16</t>
  </si>
  <si>
    <t>FM0H104ZFTP16-ES</t>
  </si>
  <si>
    <t>FM0H104ZFTP18</t>
  </si>
  <si>
    <t>FM0H223ZF</t>
  </si>
  <si>
    <t>FM0H223ZF-L1</t>
  </si>
  <si>
    <t>FM0H223ZF-L3</t>
  </si>
  <si>
    <t>FM0H223ZF-LS</t>
  </si>
  <si>
    <t>FM0H223ZF-NIC</t>
  </si>
  <si>
    <t>FM0H223ZFTP16</t>
  </si>
  <si>
    <t>FM0H223ZFTP18</t>
  </si>
  <si>
    <t>FM0H224ZF</t>
  </si>
  <si>
    <t>FM0H224ZF-L1</t>
  </si>
  <si>
    <t>FM0H224ZF-L2</t>
  </si>
  <si>
    <t>FM0H224ZF-L2CP</t>
  </si>
  <si>
    <t>FM0H224ZFTP16</t>
  </si>
  <si>
    <t>FM0H224ZFTP16-NIC</t>
  </si>
  <si>
    <t>FM0H224ZFTP18</t>
  </si>
  <si>
    <t>FM0H473PFTP18-RC</t>
  </si>
  <si>
    <t>FM0H473ZF</t>
  </si>
  <si>
    <t>FM0H473ZF-L1</t>
  </si>
  <si>
    <t>FM0H473ZF-L3</t>
  </si>
  <si>
    <t>FM0H473ZF-LS</t>
  </si>
  <si>
    <t>FM0H473ZF-NIC</t>
  </si>
  <si>
    <t>FM0H473ZFTP16</t>
  </si>
  <si>
    <t>FM0H473ZFTP18</t>
  </si>
  <si>
    <t>FM0H473ZFTP18-D</t>
  </si>
  <si>
    <t>FM0H473ZFTP18-RC</t>
  </si>
  <si>
    <t>FM0J473ZF</t>
  </si>
  <si>
    <t>FM0J473ZFTP16</t>
  </si>
  <si>
    <t>FM0V104ZF</t>
  </si>
  <si>
    <t>FM0V104ZF-L14</t>
  </si>
  <si>
    <t>FM0V104ZF-LS</t>
  </si>
  <si>
    <t>FM0V104ZFTP18</t>
  </si>
  <si>
    <t>FM0V224ZF</t>
  </si>
  <si>
    <t>FM0V224ZF-NIC</t>
  </si>
  <si>
    <t>FM0V224ZFTP16</t>
  </si>
  <si>
    <t>FM0V224ZFTP18</t>
  </si>
  <si>
    <t>FM0V224ZFTP18-NIC</t>
  </si>
  <si>
    <t>FM0V473ZF</t>
  </si>
  <si>
    <t>FM0V473ZF-L1</t>
  </si>
  <si>
    <t>FM0V473ZF-NIC</t>
  </si>
  <si>
    <t>FM0V473ZFTP16</t>
  </si>
  <si>
    <t>FM0V473ZFTP18</t>
  </si>
  <si>
    <t>FMC0H104ZF</t>
  </si>
  <si>
    <t>FMC0H104ZF-R</t>
  </si>
  <si>
    <t>FMC0H104ZFTP18</t>
  </si>
  <si>
    <t>FMC0H334ZF</t>
  </si>
  <si>
    <t>FMC0H334ZF-L1</t>
  </si>
  <si>
    <t>FMC0H334ZF-NIC</t>
  </si>
  <si>
    <t>FMC0H334ZF-R</t>
  </si>
  <si>
    <t>FMC0H334ZF-RL1</t>
  </si>
  <si>
    <t>FMC0H334ZFTP16</t>
  </si>
  <si>
    <t>FMC0H334ZFTP18</t>
  </si>
  <si>
    <t>FMC0H334ZFTP18-K</t>
  </si>
  <si>
    <t>FMC0H334ZFTP18-R</t>
  </si>
  <si>
    <t>FMC0H334ZFTP19</t>
  </si>
  <si>
    <t>FMC0H473ZF</t>
  </si>
  <si>
    <t>FMC0H473ZF-L1</t>
  </si>
  <si>
    <t>FMD0H334ZF</t>
  </si>
  <si>
    <t>FMD0H334ZFTP18</t>
  </si>
  <si>
    <t>FME0H223ZF</t>
  </si>
  <si>
    <t>FME0H223ZFTP16</t>
  </si>
  <si>
    <t>FME0H223ZFTP18</t>
  </si>
  <si>
    <t>FME0H473ZF</t>
  </si>
  <si>
    <t>FME0H473ZF-L3</t>
  </si>
  <si>
    <t>FME0H473ZF-Q</t>
  </si>
  <si>
    <t>FME0H473ZFN</t>
  </si>
  <si>
    <t>FME0H473ZFN-L1</t>
  </si>
  <si>
    <t>FME0H473ZFN-L3</t>
  </si>
  <si>
    <t>FME0H473ZFNTP18</t>
  </si>
  <si>
    <t>FME0H473ZFTP16</t>
  </si>
  <si>
    <t>FME0H473ZFTP18</t>
  </si>
  <si>
    <t>FME0H473ZFTP18-Q</t>
  </si>
  <si>
    <t>FML0H333ZF</t>
  </si>
  <si>
    <t>FML0H333ZFTP18</t>
  </si>
  <si>
    <t>FMR0H104ZF</t>
  </si>
  <si>
    <t>FMR0H104ZF-E</t>
  </si>
  <si>
    <t>FMR0H104ZF-EL3</t>
  </si>
  <si>
    <t>FMR0H104ZF-L1</t>
  </si>
  <si>
    <t>FMR0H104ZF-L3S5</t>
  </si>
  <si>
    <t>FMR0H104ZFTP18</t>
  </si>
  <si>
    <t>FMR0H104ZFTP18-E</t>
  </si>
  <si>
    <t>FMR0H104ZFTP18-NIC</t>
  </si>
  <si>
    <t>FMR0H473ZF</t>
  </si>
  <si>
    <t>FMR0H473ZF-L1</t>
  </si>
  <si>
    <t>FMR0H473ZF-L14</t>
  </si>
  <si>
    <t>FMR0H473ZF-L3</t>
  </si>
  <si>
    <t>FMR0H473ZFTP16</t>
  </si>
  <si>
    <t>FMR0H473ZFTP18</t>
  </si>
  <si>
    <t>FMR0H473ZFTP18-NIC</t>
  </si>
  <si>
    <t>FMR0V104ZF</t>
  </si>
  <si>
    <t>FMR0V104ZF-L1</t>
  </si>
  <si>
    <t>FMR0V104ZF-L3</t>
  </si>
  <si>
    <t>FMR0V104ZFTP16</t>
  </si>
  <si>
    <t>FMR0V104ZFTP18</t>
  </si>
  <si>
    <t>FMR0V334ZF</t>
  </si>
  <si>
    <t>FMR0V334ZF-L1</t>
  </si>
  <si>
    <t>FMR0V334ZFTP18</t>
  </si>
  <si>
    <t>FMR0V474ZF</t>
  </si>
  <si>
    <t>FMR0V474ZF-L1</t>
  </si>
  <si>
    <t>FMR0V474ZFTP18</t>
  </si>
  <si>
    <t>FMR0V474ZFTP18-NIC</t>
  </si>
  <si>
    <t>FMU0H334ZF</t>
  </si>
  <si>
    <t>FMU0H334ZFTP18</t>
  </si>
  <si>
    <t>FMU0H334ZFTP18-NIC</t>
  </si>
  <si>
    <t>FPHB31E226M090B</t>
  </si>
  <si>
    <t>FPHB31E226M090BKT</t>
  </si>
  <si>
    <t>FPHB31E226M090BKT2</t>
  </si>
  <si>
    <t>FPUA20E107M100B</t>
  </si>
  <si>
    <t>FPUA20E107M100BKT</t>
  </si>
  <si>
    <t>FPUA20E107M100BKT2</t>
  </si>
  <si>
    <t>FPUA20J336M100B</t>
  </si>
  <si>
    <t>NEO FPU A2 CAPACITOR</t>
  </si>
  <si>
    <t>FPUA20J336M100BKT</t>
  </si>
  <si>
    <t>FPUA20J336M100BKT2</t>
  </si>
  <si>
    <t>FPUA20J336M200B</t>
  </si>
  <si>
    <t>FPUA20J336M200BKT</t>
  </si>
  <si>
    <t>FPUA20J336M200BKT2</t>
  </si>
  <si>
    <t>FPUA20J476M100B</t>
  </si>
  <si>
    <t>FPUA20J476M100BKT</t>
  </si>
  <si>
    <t>FPUA20J476M100BKT2</t>
  </si>
  <si>
    <t>FPUA20J476M200B</t>
  </si>
  <si>
    <t>FPUA20J476M200BKT</t>
  </si>
  <si>
    <t>FPUA20J476M200BKT2</t>
  </si>
  <si>
    <t>FPUA21A226M100B</t>
  </si>
  <si>
    <t>FPUA21A226M100BKT</t>
  </si>
  <si>
    <t>FPUA21A226M100BKT2</t>
  </si>
  <si>
    <t>FPUA21A226M200B</t>
  </si>
  <si>
    <t>FPUA21A226M200BKT</t>
  </si>
  <si>
    <t>FPUA21A226M200BKT2</t>
  </si>
  <si>
    <t>FPUA21V105M100B</t>
  </si>
  <si>
    <t>FPUA21V105M100BKT</t>
  </si>
  <si>
    <t>FPUA21V105M100BKT2</t>
  </si>
  <si>
    <t>FR-LT055104AF</t>
  </si>
  <si>
    <t>FR-LT055105AF</t>
  </si>
  <si>
    <t>FR-LT055223AF</t>
  </si>
  <si>
    <t>FR-LT055473AF</t>
  </si>
  <si>
    <t>FR-LT055474AF</t>
  </si>
  <si>
    <t>FR0H104ZF</t>
  </si>
  <si>
    <t>FR0H105ZF</t>
  </si>
  <si>
    <t>FR0H105ZF-19</t>
  </si>
  <si>
    <t>FR0H105ZF-19L3</t>
  </si>
  <si>
    <t>FR0H105ZF-L3</t>
  </si>
  <si>
    <t>FR0H223ZF</t>
  </si>
  <si>
    <t>FR0H223ZFN</t>
  </si>
  <si>
    <t>FR0H224ZF</t>
  </si>
  <si>
    <t>FR0H473ZF</t>
  </si>
  <si>
    <t>FR0H473ZF-SH</t>
  </si>
  <si>
    <t>FR0H474ZF</t>
  </si>
  <si>
    <t>FRW0H104ZF</t>
  </si>
  <si>
    <t>FRW0H105ZF</t>
  </si>
  <si>
    <t>FRW0H223ZF</t>
  </si>
  <si>
    <t>FRW0H224ZF</t>
  </si>
  <si>
    <t>FRW0H473ZF</t>
  </si>
  <si>
    <t>FRW0H474ZF</t>
  </si>
  <si>
    <t>FRW0J144ZF</t>
  </si>
  <si>
    <t>FRW0J914ZF</t>
  </si>
  <si>
    <t>FS-LP055104AF</t>
  </si>
  <si>
    <t>FS-LP055105AF</t>
  </si>
  <si>
    <t>FS-LP055224AF</t>
  </si>
  <si>
    <t>FS-LP055473AF</t>
  </si>
  <si>
    <t>FS-LP055474AF</t>
  </si>
  <si>
    <t>FS-LV110105AF</t>
  </si>
  <si>
    <t>FS-LV110474AF</t>
  </si>
  <si>
    <t>FS0H104ZF</t>
  </si>
  <si>
    <t>FS0H104ZF-NIC</t>
  </si>
  <si>
    <t>FS0H104ZF-S2</t>
  </si>
  <si>
    <t>FS0H104ZF-SH</t>
  </si>
  <si>
    <t>FS0H105ZF</t>
  </si>
  <si>
    <t>FS0H105ZF-BS</t>
  </si>
  <si>
    <t>FS0H105ZF-L4</t>
  </si>
  <si>
    <t>FS0H105ZF-NIC</t>
  </si>
  <si>
    <t>FS0H223ZF</t>
  </si>
  <si>
    <t>FS0H224ZF</t>
  </si>
  <si>
    <t>FS0H224ZF-NIC</t>
  </si>
  <si>
    <t>FS0H224ZF-SH</t>
  </si>
  <si>
    <t>FS0H473ZF</t>
  </si>
  <si>
    <t>FS0H473ZF-NIC</t>
  </si>
  <si>
    <t>FS0H474ZF</t>
  </si>
  <si>
    <t>FS0H474ZF-BS</t>
  </si>
  <si>
    <t>FS0H474ZF-E</t>
  </si>
  <si>
    <t>FS0J363ZF</t>
  </si>
  <si>
    <t>FS1A105ZF</t>
  </si>
  <si>
    <t>FS1A105ZF-NIC</t>
  </si>
  <si>
    <t>FS1A474ZF</t>
  </si>
  <si>
    <t>FS1B105ZF</t>
  </si>
  <si>
    <t>FS1B105ZF-NIC</t>
  </si>
  <si>
    <t>FS1B154ZF</t>
  </si>
  <si>
    <t>FS1B334ZF</t>
  </si>
  <si>
    <t>FS1B334ZF-L4</t>
  </si>
  <si>
    <t>FS1B505ZF</t>
  </si>
  <si>
    <t>FSH0H473ZF</t>
  </si>
  <si>
    <t>FSH0J223ZF</t>
  </si>
  <si>
    <t>FSH0K404ZF</t>
  </si>
  <si>
    <t>FSH0V474ZF</t>
  </si>
  <si>
    <t>FSW0H104ZF</t>
  </si>
  <si>
    <t>FSW0H104ZF-CP</t>
  </si>
  <si>
    <t>FSW0H105ZF</t>
  </si>
  <si>
    <t>FSW0H223ZF</t>
  </si>
  <si>
    <t>FSW0H224ZF</t>
  </si>
  <si>
    <t>FSW0H473ZF</t>
  </si>
  <si>
    <t>FSW0H473ZF-H</t>
  </si>
  <si>
    <t>FT-LJ055104AF</t>
  </si>
  <si>
    <t>FT-LJ055105AF</t>
  </si>
  <si>
    <t>FT-LJ055224AF</t>
  </si>
  <si>
    <t>FT-LJ055225AF</t>
  </si>
  <si>
    <t>FT-LJ055335AF</t>
  </si>
  <si>
    <t>FT-LJ055474AF</t>
  </si>
  <si>
    <t>FT-LJ055565AF</t>
  </si>
  <si>
    <t>FT0H104ZF</t>
  </si>
  <si>
    <t>FT0H104ZF-LK</t>
  </si>
  <si>
    <t>FT0H104ZF-LKCP</t>
  </si>
  <si>
    <t>FT0H104ZF-LMIN3S3</t>
  </si>
  <si>
    <t>FT0H104ZF-NIC</t>
  </si>
  <si>
    <t>FT0H104ZF-SH</t>
  </si>
  <si>
    <t>FT0H105ZF</t>
  </si>
  <si>
    <t>FT0H105ZF-BS</t>
  </si>
  <si>
    <t>FT0H105ZF-L3</t>
  </si>
  <si>
    <t>FT0H105ZF-LT</t>
  </si>
  <si>
    <t>FT0H105ZF-NIC</t>
  </si>
  <si>
    <t>FT0H224ZF</t>
  </si>
  <si>
    <t>FT0H224ZF-LG</t>
  </si>
  <si>
    <t>FT0H224ZF-NIC</t>
  </si>
  <si>
    <t>FT0H224ZF-SH</t>
  </si>
  <si>
    <t>FT0H224ZFN</t>
  </si>
  <si>
    <t>FT0H225ZF</t>
  </si>
  <si>
    <t>FT0H225ZF-H</t>
  </si>
  <si>
    <t>FT0H225ZF-NIC</t>
  </si>
  <si>
    <t>FT0H335ZF</t>
  </si>
  <si>
    <t>FT0H335ZF-NIC</t>
  </si>
  <si>
    <t>FT0H474ZF</t>
  </si>
  <si>
    <t>FT0H474ZF-NIC</t>
  </si>
  <si>
    <t>FT0H565ZF</t>
  </si>
  <si>
    <t>FT0H565ZF-NIC</t>
  </si>
  <si>
    <t>FTH0H474ZF-NIC</t>
  </si>
  <si>
    <t>FTH0K334ZF</t>
  </si>
  <si>
    <t>FTH1A474ZF</t>
  </si>
  <si>
    <t>FTW-LJ055104AF</t>
  </si>
  <si>
    <t>FTW-LJ055224AF</t>
  </si>
  <si>
    <t>FTW0H104ZF</t>
  </si>
  <si>
    <t>FTW0H105ZF</t>
  </si>
  <si>
    <t>FTW0H224ZF</t>
  </si>
  <si>
    <t>FTW0H225ZF</t>
  </si>
  <si>
    <t>FTW0H474ZF</t>
  </si>
  <si>
    <t>FU0H105ZF</t>
  </si>
  <si>
    <t>FU0H105ZF-BS</t>
  </si>
  <si>
    <t>FU0H105ZF-ESD3</t>
  </si>
  <si>
    <t>FU0H105ZF-ESD4T</t>
  </si>
  <si>
    <t>FU0H105ZF-ESDT</t>
  </si>
  <si>
    <t>FXU0H105ZF</t>
  </si>
  <si>
    <t>FXU0H105ZF-B</t>
  </si>
  <si>
    <t>FYD-LC055104AF</t>
  </si>
  <si>
    <t>FYD-LC055105AF</t>
  </si>
  <si>
    <t>FYD-LC055145AF</t>
  </si>
  <si>
    <t>FYD-LC055224AF</t>
  </si>
  <si>
    <t>FYD-LC055225AF</t>
  </si>
  <si>
    <t>FYD-LC055474AF</t>
  </si>
  <si>
    <t>FYD0H104ZF</t>
  </si>
  <si>
    <t>FYD0H104ZF-L</t>
  </si>
  <si>
    <t>FYD0H104ZF-R</t>
  </si>
  <si>
    <t>FYD0H104ZF-SH</t>
  </si>
  <si>
    <t>FYD0H104ZF-W</t>
  </si>
  <si>
    <t>FYD0H105ZF</t>
  </si>
  <si>
    <t>FYD0H105ZF-L3</t>
  </si>
  <si>
    <t>FYD0H105ZF-W</t>
  </si>
  <si>
    <t>FYD0H145ZF</t>
  </si>
  <si>
    <t>FYD0H145ZF-L4</t>
  </si>
  <si>
    <t>FYD0H145ZF-W</t>
  </si>
  <si>
    <t>FYD0H223ZF</t>
  </si>
  <si>
    <t>FYD0H224ZF</t>
  </si>
  <si>
    <t>FYD0H224ZF-W</t>
  </si>
  <si>
    <t>FYD0H225ZF</t>
  </si>
  <si>
    <t>FYD0H473ZF</t>
  </si>
  <si>
    <t>FYD0H473ZF-L3S5</t>
  </si>
  <si>
    <t>FYD0H473ZF-SH</t>
  </si>
  <si>
    <t>FYD0H473ZF-W</t>
  </si>
  <si>
    <t>FYD0H473ZF-W1</t>
  </si>
  <si>
    <t>FYD0H473ZF-W3</t>
  </si>
  <si>
    <t>FYD0H474ZF</t>
  </si>
  <si>
    <t>FYD0H474ZF-L3S5</t>
  </si>
  <si>
    <t>FYD0H474ZF-SH</t>
  </si>
  <si>
    <t>FYD0H474ZF-W</t>
  </si>
  <si>
    <t>FYD0H475ZF</t>
  </si>
  <si>
    <t>FYD0J273ZF</t>
  </si>
  <si>
    <t>FYD0V563ZF</t>
  </si>
  <si>
    <t>FYD0V563ZF-L2</t>
  </si>
  <si>
    <t>FYD0V563ZF-L2M</t>
  </si>
  <si>
    <t>FYH-LK055105AF</t>
  </si>
  <si>
    <t>FYH-LK055223AF</t>
  </si>
  <si>
    <t>FYH-LK055224AF</t>
  </si>
  <si>
    <t>FYH-LK055473AF</t>
  </si>
  <si>
    <t>FYH-LK055474AF</t>
  </si>
  <si>
    <t>FYH0H104ZF</t>
  </si>
  <si>
    <t>FYH0H104ZF-W</t>
  </si>
  <si>
    <t>FYH0H105ZF</t>
  </si>
  <si>
    <t>FYH0H105ZF-W</t>
  </si>
  <si>
    <t>FYH0H223ZF</t>
  </si>
  <si>
    <t>FYH0H223ZF-W</t>
  </si>
  <si>
    <t>FYH0H224ZF</t>
  </si>
  <si>
    <t>FYH0H224ZF-W</t>
  </si>
  <si>
    <t>FYH0H473ZF</t>
  </si>
  <si>
    <t>FYH0H473ZF-L2</t>
  </si>
  <si>
    <t>FYH0H473ZF-W</t>
  </si>
  <si>
    <t>FYH0H474ZF</t>
  </si>
  <si>
    <t>FYH0H474ZF-H1</t>
  </si>
  <si>
    <t>FYL0H103ZF</t>
  </si>
  <si>
    <t>FYL0H103ZF-L3S5</t>
  </si>
  <si>
    <t>FYL0H223ZF</t>
  </si>
  <si>
    <t>FYL0H223ZF-W</t>
  </si>
  <si>
    <t>FYL0H473ZF</t>
  </si>
  <si>
    <t>FYL0H473ZF-L3S3</t>
  </si>
  <si>
    <t>FYL0H473ZF-W</t>
  </si>
  <si>
    <t>FYL TYPE SUPER CAPACITOR</t>
  </si>
  <si>
    <t>FYL0H473ZF-WL3S3</t>
  </si>
  <si>
    <t>KEMET Dopped Ta Wire 0.0074</t>
  </si>
  <si>
    <t>LBS</t>
  </si>
  <si>
    <t>KDW0087D</t>
  </si>
  <si>
    <t>KEMET Dopped Ta Wire 0.0087</t>
  </si>
  <si>
    <t>NP-2351S25-A</t>
  </si>
  <si>
    <t>ANODE TANTALUM PML FPSA3</t>
  </si>
  <si>
    <t>NP-2351S25-AR</t>
  </si>
  <si>
    <t>ANODE TANTALUM PML RECYCLED</t>
  </si>
  <si>
    <t>PSHB20E227M025B</t>
  </si>
  <si>
    <t>PSHB20E227M025BLL</t>
  </si>
  <si>
    <t>NEO B2 CAPACITOR</t>
  </si>
  <si>
    <t>PSHB20E337M025B</t>
  </si>
  <si>
    <t>NEO PSH B2 CAPACITOR</t>
  </si>
  <si>
    <t>PSHB20E337M025BLL</t>
  </si>
  <si>
    <t>PSHB20J157M045BLL</t>
  </si>
  <si>
    <t>PSHB20J227M045B</t>
  </si>
  <si>
    <t>PSHB20J227M045BLL</t>
  </si>
  <si>
    <t>PSHB21C226M100BLL</t>
  </si>
  <si>
    <t>PSHB21C336M070BLL</t>
  </si>
  <si>
    <t>PSHB21E156M090B</t>
  </si>
  <si>
    <t>PSHB21E156M090BKT</t>
  </si>
  <si>
    <t>PSHB21E156M090BKT2</t>
  </si>
  <si>
    <t>PSHB21E226M090B</t>
  </si>
  <si>
    <t>PSUB20E227M025BKT</t>
  </si>
  <si>
    <t>NEO PSU B2 CAPACITOR</t>
  </si>
  <si>
    <t>PSUB20E227M025BKT2</t>
  </si>
  <si>
    <t>PSUB20E337M025B</t>
  </si>
  <si>
    <t>PSUB20E337M025BF</t>
  </si>
  <si>
    <t>PSUB20E337M025BKT</t>
  </si>
  <si>
    <t>RECLAIM-TANTALUM</t>
  </si>
  <si>
    <t>RTG.NEOFG.PSLA0E227M(45)8RSY</t>
  </si>
  <si>
    <t>RTG.NEOFG.PSLB20E477M(14)8R</t>
  </si>
  <si>
    <t>RTG.SFG.TP1137VCTKFGT</t>
  </si>
  <si>
    <t>T527S396M015ATE200NKTA</t>
  </si>
  <si>
    <t>TEFPSA080J476M8R</t>
  </si>
  <si>
    <t>NEOFACEDOWN A08 CAPACITOR</t>
  </si>
  <si>
    <t>TEFPSA080J476M8RKT</t>
  </si>
  <si>
    <t>TEFPSA080J476M8RKT2</t>
  </si>
  <si>
    <t>TEFPSA081C226M(200)8R</t>
  </si>
  <si>
    <t>TEFPSA081C226M2008RKT</t>
  </si>
  <si>
    <t>TEFPSA081C226M2008RKT2</t>
  </si>
  <si>
    <t>TEFPSA081C226M2008RKT3</t>
  </si>
  <si>
    <t>TEFPSA081C226M2008RKT6</t>
  </si>
  <si>
    <t>TEFPSA081C226M8RKT9</t>
  </si>
  <si>
    <t>TEFPSA081C226MCHF8R</t>
  </si>
  <si>
    <t>TEFPSA081C226MQHF8R</t>
  </si>
  <si>
    <t>TEFPSA081C226MQHF8RSA</t>
  </si>
  <si>
    <t>NEO-FACEDOWN A08 CAPACITOR</t>
  </si>
  <si>
    <t>TEFPSA081C226MQN8RLD</t>
  </si>
  <si>
    <t>TEFPSA081C226MTHF8R</t>
  </si>
  <si>
    <t>TEFPSA081C226MTHF8R-T</t>
  </si>
  <si>
    <t>TEFPSA081C226MTN8RFL</t>
  </si>
  <si>
    <t>TEFPSA21C336M8R</t>
  </si>
  <si>
    <t>NEO-FACEDOWN A2 CAPACITOR</t>
  </si>
  <si>
    <t>TEFPSA21C336M8RKT</t>
  </si>
  <si>
    <t>TEFPSA21C336M8RKT2</t>
  </si>
  <si>
    <t>TEFPSA21E106M(150)8R</t>
  </si>
  <si>
    <t>TEFPSA21E106M1508RKT</t>
  </si>
  <si>
    <t>TEFPSA21E106M1508RKT2</t>
  </si>
  <si>
    <t>TEFPSA21L566M2008RKT3</t>
  </si>
  <si>
    <t>TEFPSA21L566MHF8R</t>
  </si>
  <si>
    <t>TEFPSA21L566MPHF8R</t>
  </si>
  <si>
    <t>TEFPSA21N396M2008RKT3</t>
  </si>
  <si>
    <t>TEFPSA21N396M2008RKT6</t>
  </si>
  <si>
    <t>TEFPSA21N396M2008RKTB</t>
  </si>
  <si>
    <t>TEFPSA21N396MCPF8R</t>
  </si>
  <si>
    <t>TEFPSA21N396MHF8R</t>
  </si>
  <si>
    <t>TEFPSA21N396MHF8RSA</t>
  </si>
  <si>
    <t>TEFPSA21N396MQF8RLD</t>
  </si>
  <si>
    <t>TEFPSA21N396MSHF8R</t>
  </si>
  <si>
    <t>TEFPSA30G107M8R</t>
  </si>
  <si>
    <t>NEO-FACEDOWN A3 CAPACITOR</t>
  </si>
  <si>
    <t>TEFPSA30G107M8RKT</t>
  </si>
  <si>
    <t>TEFPSA30J107M(100)8R</t>
  </si>
  <si>
    <t>TEFPSA30J107M(100)8RSY</t>
  </si>
  <si>
    <t>TEFPSA30J107M(55)8R</t>
  </si>
  <si>
    <t>TEFPSA30J107M(70)8R</t>
  </si>
  <si>
    <t>TEFPSA30J107M(70)8RSY</t>
  </si>
  <si>
    <t>TEFPSA30J107M2008RKT</t>
  </si>
  <si>
    <t>TEFPSA30J107M558RKT2</t>
  </si>
  <si>
    <t>TEFPSA30J107M558RKT3</t>
  </si>
  <si>
    <t>TEFPSA30J107M55HF8R</t>
  </si>
  <si>
    <t>TEFPSA30J107M55PHF8R</t>
  </si>
  <si>
    <t>TEFPSA30J107M55RHF8R</t>
  </si>
  <si>
    <t>NEO-FPS A3 Pd LF CAPACITOR</t>
  </si>
  <si>
    <t>TEFPSA30J107M708RKT</t>
  </si>
  <si>
    <t>TEFPSA30J107M70E8RLG</t>
  </si>
  <si>
    <t>TEFPSA30J107M8R</t>
  </si>
  <si>
    <t>TEFPSA30J107M8RKT</t>
  </si>
  <si>
    <t>TEFPSA30J137M558RKT3</t>
  </si>
  <si>
    <t>TEFPSA30J137M55RCF8R</t>
  </si>
  <si>
    <t>TEFPSA30J137M55RHF8R</t>
  </si>
  <si>
    <t>TEFPSA30J476M(70)8R</t>
  </si>
  <si>
    <t>TEFPSA30J476M150HF8R</t>
  </si>
  <si>
    <t>TEFPSA30J476M707V8R</t>
  </si>
  <si>
    <t>TEFPSA30J476M8R</t>
  </si>
  <si>
    <t>TEFPSA30J476M8RF</t>
  </si>
  <si>
    <t>TEFPSA30J476M8RKT</t>
  </si>
  <si>
    <t>TEFPSA30J476M8RSY</t>
  </si>
  <si>
    <t>TEFPSA30J476MH8R</t>
  </si>
  <si>
    <t>TEFPSA31A226M8R</t>
  </si>
  <si>
    <t>TEFPSA31A226M8RKT</t>
  </si>
  <si>
    <t>TEFPSA31A226M8RSY</t>
  </si>
  <si>
    <t>TEFPSA31A336M(150)8R</t>
  </si>
  <si>
    <t>TEFPSA31A336M1508RKT</t>
  </si>
  <si>
    <t>TEFPSA31A336M150HF8R</t>
  </si>
  <si>
    <t>TEFPSA31A336M8R</t>
  </si>
  <si>
    <t>TEFPSA31A336M8RF</t>
  </si>
  <si>
    <t>TEFPSA31A336M8RKT</t>
  </si>
  <si>
    <t>TEFPSA31A336M8RKT3</t>
  </si>
  <si>
    <t>TEFPSA31A336M8RLD</t>
  </si>
  <si>
    <t>TEFPSA31A336M8RN</t>
  </si>
  <si>
    <t>TEFPSA31A336MH8R</t>
  </si>
  <si>
    <t>TEFPSA31A336MHF8R</t>
  </si>
  <si>
    <t>TEFPSA31A336MHF8RN</t>
  </si>
  <si>
    <t>TEFPSA31A336MHG8R</t>
  </si>
  <si>
    <t>TEFPSA31A336MLV8R</t>
  </si>
  <si>
    <t>TEFPSA31A476M(150)8R</t>
  </si>
  <si>
    <t>TEFPSA31A476M1008RKT3</t>
  </si>
  <si>
    <t>TEFPSA31A476M100HF8R</t>
  </si>
  <si>
    <t>TEFPSA31A476M100PHF8R</t>
  </si>
  <si>
    <t>TEFPSA31A476M100QV8RLD</t>
  </si>
  <si>
    <t>TEFPSA31A476M8R</t>
  </si>
  <si>
    <t>TEFPSA31A476M8RKT</t>
  </si>
  <si>
    <t>TEFPSA31B336M8R</t>
  </si>
  <si>
    <t>TEFPSA31L226MHF8R</t>
  </si>
  <si>
    <t>TEFPSB100G227M(25)8R</t>
  </si>
  <si>
    <t>NEO-FACEDOWN B10 CAPACITOR</t>
  </si>
  <si>
    <t>TEFPSB100G227M(30)8R</t>
  </si>
  <si>
    <t>TEFPSB100G227M258RKT</t>
  </si>
  <si>
    <t>TEFPSB100G227M258RKT2</t>
  </si>
  <si>
    <t>TEFPSB100G227M308RKT</t>
  </si>
  <si>
    <t>TEFPSB100G227M308RKT2</t>
  </si>
  <si>
    <t>TEFPSB101D156M1008RKT3</t>
  </si>
  <si>
    <t>TEFPSB101D156M100QHF8R</t>
  </si>
  <si>
    <t>TEFPSB101D156M1508RKT3</t>
  </si>
  <si>
    <t>TEFPSB101D156M150QH8RLD</t>
  </si>
  <si>
    <t>TEFPSB101D156M150QHF8R</t>
  </si>
  <si>
    <t>TEFPSB101D156M8R</t>
  </si>
  <si>
    <t>TEFPSB101E156M1508RKT</t>
  </si>
  <si>
    <t>TEFPSB101E156M1508RKT2</t>
  </si>
  <si>
    <t>TEFPSB101E156M8R</t>
  </si>
  <si>
    <t>TEFPSB21E336M1008RKT</t>
  </si>
  <si>
    <t>TEFPSB21E336M1008RKT2</t>
  </si>
  <si>
    <t>TEFPSB21E336M8R</t>
  </si>
  <si>
    <t>TEFPSB30E337M(20)8R</t>
  </si>
  <si>
    <t>TEFPSB30E337M(25)8R</t>
  </si>
  <si>
    <t>TEFPSB30E337M(30)8R</t>
  </si>
  <si>
    <t>TEFPSB30E337M208RKT</t>
  </si>
  <si>
    <t>TEFPSB30E337M208RKT2</t>
  </si>
  <si>
    <t>TEFPSB30E337M258RKT</t>
  </si>
  <si>
    <t>TEFPSB30E337M258RKT2</t>
  </si>
  <si>
    <t>TEFPSB30E337M308RKT</t>
  </si>
  <si>
    <t>TEFPSB30E337M308RKT2</t>
  </si>
  <si>
    <t>TEFPSB31E156M1008RKT</t>
  </si>
  <si>
    <t>NEO-FACEDOWN B3 CAPACITOR</t>
  </si>
  <si>
    <t>TEFPSB31E156M8R</t>
  </si>
  <si>
    <t>TEFPSB31E156M8RLD</t>
  </si>
  <si>
    <t>TEFPSB31E156MPN8RLD</t>
  </si>
  <si>
    <t>TEFPSB31E226M1008RKT</t>
  </si>
  <si>
    <t>TEFPSB31E226M1008RKT2</t>
  </si>
  <si>
    <t>TEFPSB31E226M8R</t>
  </si>
  <si>
    <t>TEFPSB31M336M558RKT3</t>
  </si>
  <si>
    <t>TEFPSB31M336M558RKT9</t>
  </si>
  <si>
    <t>TEFPSB31M336M55RCF8R</t>
  </si>
  <si>
    <t>TEFPSB31M336M55RHF8R</t>
  </si>
  <si>
    <t>TEFPSB31V685M1008RKT3</t>
  </si>
  <si>
    <t>TEFPSB31V685M1008RKTA</t>
  </si>
  <si>
    <t>TEFPSB31V685M1008RKTB</t>
  </si>
  <si>
    <t>TEFPSB31V685M8R</t>
  </si>
  <si>
    <t>TEFPSB31V685MCPF8R</t>
  </si>
  <si>
    <t>TEFPSB31V685MHF8R</t>
  </si>
  <si>
    <t>TEFPSB31V685MPF8R</t>
  </si>
  <si>
    <t>TEGPSA30J157M8RKT</t>
  </si>
  <si>
    <t>T529I157M006AAE200</t>
  </si>
  <si>
    <t>TEGPSP20J106M2008RKT</t>
  </si>
  <si>
    <t>GPS P2 CAPACITOR</t>
  </si>
  <si>
    <t>TEGPSP20J106M8R</t>
  </si>
  <si>
    <t>TEGPSP20J106M8RF</t>
  </si>
  <si>
    <t>TEGPSP20J226M(150)8R</t>
  </si>
  <si>
    <t>TEGPSP20J226M1508RKT</t>
  </si>
  <si>
    <t>TEGPSP20J226M8R</t>
  </si>
  <si>
    <t>TEGPSP20J226M8RKT</t>
  </si>
  <si>
    <t>TEGPSP20J476M1508RKT</t>
  </si>
  <si>
    <t>TEGPSP20J476M1508RKT3</t>
  </si>
  <si>
    <t>TEGPSP20J476M1508RKU</t>
  </si>
  <si>
    <t>TEGPSP20J476M150AHF8R</t>
  </si>
  <si>
    <t>TEGPSP20J476M150HF8R</t>
  </si>
  <si>
    <t>TEGPSP20J476M2008RKT</t>
  </si>
  <si>
    <t>TEGPSP20J476M8R</t>
  </si>
  <si>
    <t>TEGPSP20J476M8RKT</t>
  </si>
  <si>
    <t>TEGPSP20J476MCL8R</t>
  </si>
  <si>
    <t>TEGPSP21A106M2008RKT</t>
  </si>
  <si>
    <t>TEGPSP21A106M8R</t>
  </si>
  <si>
    <t>TEGPSP21A226M(150)8R</t>
  </si>
  <si>
    <t>TEGPSP21A226M1508RKT</t>
  </si>
  <si>
    <t>TEGPSP21A226M8R</t>
  </si>
  <si>
    <t>TEGPSP21A226M8RKT</t>
  </si>
  <si>
    <t>TEGPSP21A476MLV8RKT</t>
  </si>
  <si>
    <t>TEGPSP21C106M1508RKT</t>
  </si>
  <si>
    <t>TEGPSP21C106M8R</t>
  </si>
  <si>
    <t>TEGPSP21E475M3008RKT</t>
  </si>
  <si>
    <t>TEGPSP21E475M3008RKT2</t>
  </si>
  <si>
    <t>TEGPSP21E475M8R</t>
  </si>
  <si>
    <t>TEGPSP21E475M8RFF</t>
  </si>
  <si>
    <t>TEGPSP21E475M8RLD</t>
  </si>
  <si>
    <t>TEPSGB20E127M9HF8R</t>
  </si>
  <si>
    <t>GEMINI B2 CAPACITOR</t>
  </si>
  <si>
    <t>TEPSGB20E227M9-8R</t>
  </si>
  <si>
    <t>TEPSGB20E227M9-8RKT</t>
  </si>
  <si>
    <t>TEPSGB20E227M9-8RKT2</t>
  </si>
  <si>
    <t>TEPSGB20E227M9HF8R</t>
  </si>
  <si>
    <t>TEPSGB20E337M(9)8R</t>
  </si>
  <si>
    <t>TEPSGB20E337M9-8R</t>
  </si>
  <si>
    <t>TEPSGB20E337M9-8RCP</t>
  </si>
  <si>
    <t>TEPSGB20E337M9-8RF</t>
  </si>
  <si>
    <t>TEPSGB20E337M9-8RFX</t>
  </si>
  <si>
    <t>TEPSGB20E337M9-8RLG</t>
  </si>
  <si>
    <t>TEPSGB20E337M9-8R_LE</t>
  </si>
  <si>
    <t>TEPSGB20E337M98RKT</t>
  </si>
  <si>
    <t>TEPSGB20E337M98RKT2</t>
  </si>
  <si>
    <t>TEPSGB20E337M98RKT3</t>
  </si>
  <si>
    <t>TEPSGB20E337M98RKT7</t>
  </si>
  <si>
    <t>TEPSGB20E337M9E8RLG</t>
  </si>
  <si>
    <t>TEPSGB20E337M9HF8R</t>
  </si>
  <si>
    <t>TEPSGB20E337M9NS8R</t>
  </si>
  <si>
    <t>TEPSGB20E337M9NS8RKT</t>
  </si>
  <si>
    <t>TEPSLA0E107M(35)8R</t>
  </si>
  <si>
    <t>NEO A CAPACITOR</t>
  </si>
  <si>
    <t>TEPSLA0E107M8R</t>
  </si>
  <si>
    <t>TEPSLA0E227M(25)8R</t>
  </si>
  <si>
    <t>TEPSLA0E227M(35)8R</t>
  </si>
  <si>
    <t>TEPSLA0E227M(35)8RF</t>
  </si>
  <si>
    <t>TEPSLA0E227M(45)8R</t>
  </si>
  <si>
    <t>TEPSLA0E227M(45)8RSY</t>
  </si>
  <si>
    <t>TEPSLA0E227M(70)8R</t>
  </si>
  <si>
    <t>TEPSLA0E227M(70)8RF</t>
  </si>
  <si>
    <t>TEPSLA0E227M258RKT</t>
  </si>
  <si>
    <t>TEPSLA0E227M358RKT</t>
  </si>
  <si>
    <t>TEPSLA0E476M908RKT</t>
  </si>
  <si>
    <t>TEPSLA0E686M708RKT</t>
  </si>
  <si>
    <t>TEPSLA0G106M8R</t>
  </si>
  <si>
    <t>TEPSLA0G106M8RSN</t>
  </si>
  <si>
    <t>TEPSLA0G107M(25)8R</t>
  </si>
  <si>
    <t>TEPSLA0G107M(35)8R</t>
  </si>
  <si>
    <t>TEPSLA0G107M(45)8R</t>
  </si>
  <si>
    <t>TEPSLA0G107M2008RKT</t>
  </si>
  <si>
    <t>TEPSLA0G107M458RKT</t>
  </si>
  <si>
    <t>TEPSLA0G107M8R</t>
  </si>
  <si>
    <t>TEPSLA0G107M8RKT</t>
  </si>
  <si>
    <t>TEPSLA0G336M708RKT</t>
  </si>
  <si>
    <t>TEPSLA0G336M8R</t>
  </si>
  <si>
    <t>TEPSLA0G336M8RSN</t>
  </si>
  <si>
    <t>TEPSLA0G476M(200)8RSN</t>
  </si>
  <si>
    <t>TEPSLA0G476M708RKT</t>
  </si>
  <si>
    <t>TEPSLA0G476M808RKT</t>
  </si>
  <si>
    <t>TEPSLA0G476M8R</t>
  </si>
  <si>
    <t>TEPSLA0G686M8R</t>
  </si>
  <si>
    <t>TEPSLA0G686M8RKT</t>
  </si>
  <si>
    <t>TEPSLA0J106M8R</t>
  </si>
  <si>
    <t>TEPSLA0J106M8RSN</t>
  </si>
  <si>
    <t>TEPSLA0J106M8RSY</t>
  </si>
  <si>
    <t>TEPSLA0J106MP8R</t>
  </si>
  <si>
    <t>TEPSLA0J107M(25)8R</t>
  </si>
  <si>
    <t>TEPSLA0J107M(35)8R</t>
  </si>
  <si>
    <t>TEPSLA0J107M(35)8RF</t>
  </si>
  <si>
    <t>TEPSLA0J107M(45)8R</t>
  </si>
  <si>
    <t>TEPSLA0J107M(70)8R</t>
  </si>
  <si>
    <t>TEPSLA0J107M258RKT</t>
  </si>
  <si>
    <t>TEPSLA0J107M358RKT</t>
  </si>
  <si>
    <t>TEPSLA0J107M35E8RLD</t>
  </si>
  <si>
    <t>TEPSLA0J107M35E8RLG</t>
  </si>
  <si>
    <t>TEPSLA0J107M458RKT</t>
  </si>
  <si>
    <t>TEPSLA0J107M707V8R</t>
  </si>
  <si>
    <t>TEPSLA0J107M8RKT</t>
  </si>
  <si>
    <t>TEPSLA0J107M8RKT2</t>
  </si>
  <si>
    <t>TEPSLA0J156M8R</t>
  </si>
  <si>
    <t>TEPSLA0J226M(500)8R</t>
  </si>
  <si>
    <t>TEPSLA0J226M1008RKT</t>
  </si>
  <si>
    <t>TEPSLA0J226M8R</t>
  </si>
  <si>
    <t>TEPSLA0J226M8RBM</t>
  </si>
  <si>
    <t>TEPSLA0J226M8RF</t>
  </si>
  <si>
    <t>TEPSLA0J226M8RLD</t>
  </si>
  <si>
    <t>TEPSLA0J226M8RSN</t>
  </si>
  <si>
    <t>TEPSLA0J226M8RSY</t>
  </si>
  <si>
    <t>TEPSLA0J226M8RU</t>
  </si>
  <si>
    <t>TEPSLA0J226M908RKT</t>
  </si>
  <si>
    <t>TEPSLA0J226MPC8R</t>
  </si>
  <si>
    <t>TEPSLA0J336M1808RKT</t>
  </si>
  <si>
    <t>TEPSLA0J336M708RKT</t>
  </si>
  <si>
    <t>TEPSLA0J336M808RKT</t>
  </si>
  <si>
    <t>TEPSLA0J336M8R</t>
  </si>
  <si>
    <t>TEPSLA0J336M8RHA</t>
  </si>
  <si>
    <t>TEPSLA0J336MHF8R</t>
  </si>
  <si>
    <t>TEPSLA0J336MSR8R</t>
  </si>
  <si>
    <t>TEPSLA0J476M(70)8R</t>
  </si>
  <si>
    <t>TEPSLA0J476M(70)8RF</t>
  </si>
  <si>
    <t>TEPSLA0J476M708RKT</t>
  </si>
  <si>
    <t>TEPSLA0J476M708RKT2</t>
  </si>
  <si>
    <t>TEPSLA0J476M7V8R</t>
  </si>
  <si>
    <t>TEPSLA0J476M8R</t>
  </si>
  <si>
    <t>TEPSLA0J476M8RF</t>
  </si>
  <si>
    <t>TEPSLA0J476M8RFHA</t>
  </si>
  <si>
    <t>TEPSLA0J476M8RHA</t>
  </si>
  <si>
    <t>TEPSLA0J476M8RKT</t>
  </si>
  <si>
    <t>TEPSLA0J476M8RSY</t>
  </si>
  <si>
    <t>TEPSLA0J476MP8R</t>
  </si>
  <si>
    <t>TEPSLA0J476MPC8R</t>
  </si>
  <si>
    <t>TEPSLA0J685M8R</t>
  </si>
  <si>
    <t>TEPSLA0J686M1508RKT</t>
  </si>
  <si>
    <t>TEPSLA0J686M708RKT</t>
  </si>
  <si>
    <t>TEPSLA1A106M808RKT</t>
  </si>
  <si>
    <t>TEPSLA1A106M8R</t>
  </si>
  <si>
    <t>TEPSLA1A106M8RF</t>
  </si>
  <si>
    <t>TEPSLA1A106M8RHA</t>
  </si>
  <si>
    <t>TEPSLA1A106M8RSN</t>
  </si>
  <si>
    <t>TEPSLA1A156M808RKT</t>
  </si>
  <si>
    <t>TEPSLA1A156M8R</t>
  </si>
  <si>
    <t>TEPSLA1A226M808RKT</t>
  </si>
  <si>
    <t>TEPSLA1A226M8R</t>
  </si>
  <si>
    <t>TEPSLA1A226M8RLD</t>
  </si>
  <si>
    <t>TEPSLA1A226M8RSY</t>
  </si>
  <si>
    <t>TEPSLA1A226MHP8RSY</t>
  </si>
  <si>
    <t>TEPSLA1A226MOP8R</t>
  </si>
  <si>
    <t>TEPSLA1A226MOP8RSY</t>
  </si>
  <si>
    <t>TEPSLA1A335M8R</t>
  </si>
  <si>
    <t>TEPSLA1A335M8RSN</t>
  </si>
  <si>
    <t>TEPSLA1A336M8R</t>
  </si>
  <si>
    <t>TEPSLA1A475M3008RKT</t>
  </si>
  <si>
    <t>TEPSLA1A475M3008RKT2</t>
  </si>
  <si>
    <t>TEPSLA1A475M8R</t>
  </si>
  <si>
    <t>TEPSLA1A475M8RF</t>
  </si>
  <si>
    <t>TEPSLA1A475M8RSY</t>
  </si>
  <si>
    <t>TEPSLA1A475MHF8R</t>
  </si>
  <si>
    <t>TEPSLA1A476M(45)8R</t>
  </si>
  <si>
    <t>TEPSLA1A476M(45)8RF</t>
  </si>
  <si>
    <t>TEPSLA1A476M(45)8RFL</t>
  </si>
  <si>
    <t>TEPSLA1A476M458RKT</t>
  </si>
  <si>
    <t>TEPSLA1A476M458RKT2</t>
  </si>
  <si>
    <t>TEPSLA1A476M458RSY</t>
  </si>
  <si>
    <t>TEPSLA1A476M45E8RLG</t>
  </si>
  <si>
    <t>TEPSLA1A685M8R</t>
  </si>
  <si>
    <t>TEPSLA1C106M2008RKT</t>
  </si>
  <si>
    <t>TEPSLA1C106M2008RKT2</t>
  </si>
  <si>
    <t>TEPSLA1C106M8R</t>
  </si>
  <si>
    <t>TEPSLA1C335M8008RKT2</t>
  </si>
  <si>
    <t>TEPSLA1C335M8R</t>
  </si>
  <si>
    <t>TEPSLA1C335M8RF</t>
  </si>
  <si>
    <t>TEPSLA1E106M150DE8RKT</t>
  </si>
  <si>
    <t>TEPSLA1E106MDE8R</t>
  </si>
  <si>
    <t>TEPSLB150J157M(35)8R</t>
  </si>
  <si>
    <t>NEO B15 CAPACITOR</t>
  </si>
  <si>
    <t>TEPSLB150J157M(35)8RSY</t>
  </si>
  <si>
    <t>TEPSLB150J157M(70)8R</t>
  </si>
  <si>
    <t>TEPSLB150J157M358RKT2</t>
  </si>
  <si>
    <t>TEPSLB150J157M358RKT3</t>
  </si>
  <si>
    <t>TEPSLB150J157M358RLG</t>
  </si>
  <si>
    <t>TEPSLB150J157M35HF8R</t>
  </si>
  <si>
    <t>TEPSLB150J157M8R</t>
  </si>
  <si>
    <t>TEPSLB150J157M8RF</t>
  </si>
  <si>
    <t>TEPSLB150J227M(35)8R</t>
  </si>
  <si>
    <t>TEPSLB150J227M358RKT</t>
  </si>
  <si>
    <t>TEPSLB150J227M358RKT2</t>
  </si>
  <si>
    <t>TEPSLB151E106M1008RKT</t>
  </si>
  <si>
    <t>TEPSLB151E106M1008RKT2</t>
  </si>
  <si>
    <t>TEPSLB151E106M8R</t>
  </si>
  <si>
    <t>TEPSLB151E106M8RLG</t>
  </si>
  <si>
    <t>TEPSLB20E227M(15)8R</t>
  </si>
  <si>
    <t>TEPSLB20E227M(15)8RFX</t>
  </si>
  <si>
    <t>TEPSLB20E227M(21)8R</t>
  </si>
  <si>
    <t>TEPSLB20E227M(21)8RS</t>
  </si>
  <si>
    <t>TEPSLB20E227M(25)8R</t>
  </si>
  <si>
    <t>TEPSLB20E227M(35)8R</t>
  </si>
  <si>
    <t>TEPSLB20E227M(35)8RF</t>
  </si>
  <si>
    <t>TEPSLB20E227M(35)8RFL</t>
  </si>
  <si>
    <t>TEPSLB20E227M(35)8RFX</t>
  </si>
  <si>
    <t>TEPSLB20E227M(35)H8R</t>
  </si>
  <si>
    <t>TEPSLB20E227M(45)8R</t>
  </si>
  <si>
    <t>TEPSLB20E227M158RCP</t>
  </si>
  <si>
    <t>TEPSLB20E227M158RKT</t>
  </si>
  <si>
    <t>TEPSLB20E227M158RKT2</t>
  </si>
  <si>
    <t>TEPSLB20E227M218RAS</t>
  </si>
  <si>
    <t>TEPSLB20E227M218RSY</t>
  </si>
  <si>
    <t>TEPSLB20E227M21HF8R</t>
  </si>
  <si>
    <t>TEPSLB20E227M358RCP</t>
  </si>
  <si>
    <t>TEPSLB20E227M358RHA</t>
  </si>
  <si>
    <t>TEPSLB20E227M8R</t>
  </si>
  <si>
    <t>TEPSLB20E337M(15)8R</t>
  </si>
  <si>
    <t>TEPSLB20E337M(15)8RF</t>
  </si>
  <si>
    <t>TEPSLB20E337M(15)8RFL</t>
  </si>
  <si>
    <t>TEPSLB20E337M(15)8RFX</t>
  </si>
  <si>
    <t>TEPSLB20E337M(21)8R</t>
  </si>
  <si>
    <t>TEPSLB20E337M(35)8R</t>
  </si>
  <si>
    <t>TEPSLB20E337M(45)8R</t>
  </si>
  <si>
    <t>TEPSLB20E337M128RKT</t>
  </si>
  <si>
    <t>TEPSLB20E337M13HF8R</t>
  </si>
  <si>
    <t>TEPSLB20E337M158RAS</t>
  </si>
  <si>
    <t>TEPSLB20E337M158RCP</t>
  </si>
  <si>
    <t>TEPSLB20E337M158RKT2</t>
  </si>
  <si>
    <t>TEPSLB20E337M158RSY</t>
  </si>
  <si>
    <t>TEPSLB20E337M15E8RLD</t>
  </si>
  <si>
    <t>TEPSLB20E337M15E8RLG</t>
  </si>
  <si>
    <t>TEPSLB20E337M358RKT2</t>
  </si>
  <si>
    <t>TEPSLB20E337M35NE8R</t>
  </si>
  <si>
    <t>TEPSLB20E477M(14)8R</t>
  </si>
  <si>
    <t>TEPSLB20E477M148RKT</t>
  </si>
  <si>
    <t>TEPSLB20E477M148RKTC</t>
  </si>
  <si>
    <t>TEPSLB20G107M(35)8R</t>
  </si>
  <si>
    <t>TEPSLB20G107M(45)8R</t>
  </si>
  <si>
    <t>TEPSLB20G107M(45)8RPB</t>
  </si>
  <si>
    <t>TEPSLB20G107M(70)8R</t>
  </si>
  <si>
    <t>TEPSLB20G107M(70)8RBM</t>
  </si>
  <si>
    <t>TEPSLB20G107M45HF8R</t>
  </si>
  <si>
    <t>TEPSLB20G107M708RKT2</t>
  </si>
  <si>
    <t>TEPSLB20G107M8R</t>
  </si>
  <si>
    <t>TEPSLB20G107M8RSN</t>
  </si>
  <si>
    <t>TEPSLB20G157M(30)8R</t>
  </si>
  <si>
    <t>TEPSLB20G157M(30)8RS</t>
  </si>
  <si>
    <t>TEPSLB20G157M(35)8R</t>
  </si>
  <si>
    <t>TEPSLB20G157M30HF8R</t>
  </si>
  <si>
    <t>TEPSLB20G157M8R</t>
  </si>
  <si>
    <t>TEPSLB20G226M8R</t>
  </si>
  <si>
    <t>TEPSLB20G226M8RSN</t>
  </si>
  <si>
    <t>TEPSLB20G226M8RSY</t>
  </si>
  <si>
    <t>TEPSLB20G227M(15)8R</t>
  </si>
  <si>
    <t>TEPSLB20G227M(25)8R</t>
  </si>
  <si>
    <t>TEPSLB20G227M(35)8R</t>
  </si>
  <si>
    <t>TEPSLB20G227M(45)8R</t>
  </si>
  <si>
    <t>TEPSLB20G227M8R</t>
  </si>
  <si>
    <t>TEPSLB20G227M8RHA</t>
  </si>
  <si>
    <t>TEPSLB20G227M8RSY</t>
  </si>
  <si>
    <t>TEPSLB20G337M(35)8R</t>
  </si>
  <si>
    <t>TEPSLB20J107M(15)8R</t>
  </si>
  <si>
    <t>TEPSLB20J107M(18)8R</t>
  </si>
  <si>
    <t>TEPSLB20J107M(25)8R</t>
  </si>
  <si>
    <t>TEPSLB20J107M(35)8R</t>
  </si>
  <si>
    <t>TEPSLB20J107M(35)8R-J</t>
  </si>
  <si>
    <t>TEPSLB20J107M(35)8RF</t>
  </si>
  <si>
    <t>TEPSLB20J107M(35)8RFX</t>
  </si>
  <si>
    <t>TEPSLB20J107M(45)8R</t>
  </si>
  <si>
    <t>TEPSLB20J107M(45)8RF</t>
  </si>
  <si>
    <t>TEPSLB20J107M(45)8RFL</t>
  </si>
  <si>
    <t>TEPSLB20J107M(45)8RPB</t>
  </si>
  <si>
    <t>TEPSLB20J107M(45)8RSN</t>
  </si>
  <si>
    <t>TEPSLB20J107M(70)8RSN</t>
  </si>
  <si>
    <t>TEPSLB20J107M358RHA</t>
  </si>
  <si>
    <t>TEPSLB20J107M358RKT2</t>
  </si>
  <si>
    <t>TEPSLB20J107M458RKT2</t>
  </si>
  <si>
    <t>TEPSLB20J107M45CW8R</t>
  </si>
  <si>
    <t>TEPSLB20J107M45HF8R</t>
  </si>
  <si>
    <t>TEPSLB20J107M7V8R</t>
  </si>
  <si>
    <t>TEPSLB20J107M8R</t>
  </si>
  <si>
    <t>TEPSLB20J107M8RF</t>
  </si>
  <si>
    <t>TEPSLB20J107M8RFL</t>
  </si>
  <si>
    <t>TEPSLB20J107M8RPB</t>
  </si>
  <si>
    <t>TEPSLB20J107M8RSN</t>
  </si>
  <si>
    <t>TEPSLB20J107M8RSY</t>
  </si>
  <si>
    <t>TEPSLB20J156M8R</t>
  </si>
  <si>
    <t>TEPSLB20J156M8RSY</t>
  </si>
  <si>
    <t>TEPSLB20J157M(15)8R</t>
  </si>
  <si>
    <t>TEPSLB20J157M(25)8R</t>
  </si>
  <si>
    <t>TEPSLB20J157M(25)8RF</t>
  </si>
  <si>
    <t>TEPSLB20J157M(26)8R</t>
  </si>
  <si>
    <t>TEPSLB20J157M(35)8R</t>
  </si>
  <si>
    <t>TEPSLB20J157M(45)8R</t>
  </si>
  <si>
    <t>TEPSLB20J157M(45)8RFX</t>
  </si>
  <si>
    <t>TEPSLB20J157M188RKT3</t>
  </si>
  <si>
    <t>TEPSLB20J157M188RKTA</t>
  </si>
  <si>
    <t>TEPSLB20J157M188RKTB</t>
  </si>
  <si>
    <t>TEPSLB20J157M18CPF8R</t>
  </si>
  <si>
    <t>TEPSLB20J157M18HF8R</t>
  </si>
  <si>
    <t>TEPSLB20J157M18PF8R</t>
  </si>
  <si>
    <t>TEPSLB20J157M18RKT3</t>
  </si>
  <si>
    <t>TEPSLB20J157M258RCP</t>
  </si>
  <si>
    <t>TEPSLB20J157M258RKT3</t>
  </si>
  <si>
    <t>TEPSLB20J157M25HF8R</t>
  </si>
  <si>
    <t>TEPSLB20J157M358RKT2</t>
  </si>
  <si>
    <t>TEPSLB20J157M458RCP</t>
  </si>
  <si>
    <t>TEPSLB20J157M458RKT2</t>
  </si>
  <si>
    <t>TEPSLB20J157M458RSY</t>
  </si>
  <si>
    <t>TEPSLB20J157M8R</t>
  </si>
  <si>
    <t>TEPSLB20J157M8RF</t>
  </si>
  <si>
    <t>TEPSLB20J226M8R</t>
  </si>
  <si>
    <t>TEPSLB20J226M8RSN</t>
  </si>
  <si>
    <t>TEPSLB20J227M(15)8R</t>
  </si>
  <si>
    <t>TEPSLB20J227M(18)8R</t>
  </si>
  <si>
    <t>TEPSLB20J227M(25)8R</t>
  </si>
  <si>
    <t>TEPSLB20J227M(25)8RF</t>
  </si>
  <si>
    <t>TEPSLB20J227M(35)8R</t>
  </si>
  <si>
    <t>TEPSLB20J227M(45)8R</t>
  </si>
  <si>
    <t>TEPSLB20J227M258RKT</t>
  </si>
  <si>
    <t>TEPSLB20J227M258RKT2</t>
  </si>
  <si>
    <t>TEPSLB20J227M258RKT3</t>
  </si>
  <si>
    <t>TEPSLB20J227M258RKT4</t>
  </si>
  <si>
    <t>TEPSLB20J227M258RKT8</t>
  </si>
  <si>
    <t>TEPSLB20J227M258RKTA</t>
  </si>
  <si>
    <t>TEPSLB20J227M25CS8R</t>
  </si>
  <si>
    <t>TEPSLB20J227M25E8RLG</t>
  </si>
  <si>
    <t>TEPSLB20J227M25HF8R</t>
  </si>
  <si>
    <t>TEPSLB20J227M25HF8R-K</t>
  </si>
  <si>
    <t>TEPSLB20J227M25LQ8R</t>
  </si>
  <si>
    <t>TEPSLB20J227M25PF8R</t>
  </si>
  <si>
    <t>TEPSLB20J227M25SK8R</t>
  </si>
  <si>
    <t>TEPSLB20J227M25SK8R-K</t>
  </si>
  <si>
    <t>TEPSLB20J227M358RKT4</t>
  </si>
  <si>
    <t>TEPSLB20J227M35LQ8R</t>
  </si>
  <si>
    <t>TEPSLB20J336M8R</t>
  </si>
  <si>
    <t>TEPSLB20J336MLE8R</t>
  </si>
  <si>
    <t>TEPSLB20J337M(25)8R</t>
  </si>
  <si>
    <t>TEPSLB20J337M(45)8R</t>
  </si>
  <si>
    <t>TEPSLB20J337M(45)8RFL</t>
  </si>
  <si>
    <t>TEPSLB20J337M458RKT</t>
  </si>
  <si>
    <t>TEPSLB20J337M458RKT2</t>
  </si>
  <si>
    <t>TEPSLB20J337M458RKT3</t>
  </si>
  <si>
    <t>TEPSLB20J337M45HF8R</t>
  </si>
  <si>
    <t>TEPSLB20J476M(70)8R</t>
  </si>
  <si>
    <t>TEPSLB20J476M(70)8RF</t>
  </si>
  <si>
    <t>TEPSLB20J476M(70)8RPB</t>
  </si>
  <si>
    <t>TEPSLB20J476M(70)8RSN</t>
  </si>
  <si>
    <t>TEPSLB20J476M708RAS</t>
  </si>
  <si>
    <t>TEPSLB20J476M708RSY</t>
  </si>
  <si>
    <t>TEPSLB20J476M8R</t>
  </si>
  <si>
    <t>TEPSLB20J476M8RHA</t>
  </si>
  <si>
    <t>TEPSLB20J476M8RPB</t>
  </si>
  <si>
    <t>TEPSLB20J476M8RSN</t>
  </si>
  <si>
    <t>TEPSLB20J476M8RSY</t>
  </si>
  <si>
    <t>TEPSLB20J686M(55)8R</t>
  </si>
  <si>
    <t>TEPSLB20J686M(70)8R</t>
  </si>
  <si>
    <t>TEPSLB20J686M(70)8RSN</t>
  </si>
  <si>
    <t>TEPSLB20J686M8R</t>
  </si>
  <si>
    <t>TEPSLB21A106M8R</t>
  </si>
  <si>
    <t>TEPSLB21A106M8RSN</t>
  </si>
  <si>
    <t>TEPSLB21A106M8RSY</t>
  </si>
  <si>
    <t>TEPSLB21A107M(45)8R</t>
  </si>
  <si>
    <t>TEPSLB21A107M(45)8RFL</t>
  </si>
  <si>
    <t>TEPSLB21A107M708RKT</t>
  </si>
  <si>
    <t>TEPSLB21A107M8RKT</t>
  </si>
  <si>
    <t>TEPSLB21A107M8RKT2</t>
  </si>
  <si>
    <t>TEPSLB21A156M8R</t>
  </si>
  <si>
    <t>TEPSLB21A226M8R</t>
  </si>
  <si>
    <t>TEPSLB21A226M8RF</t>
  </si>
  <si>
    <t>TEPSLB21A226M8RSN</t>
  </si>
  <si>
    <t>TEPSLB21A226M8RSY</t>
  </si>
  <si>
    <t>TEPSLB21A336M8R</t>
  </si>
  <si>
    <t>TEPSLB21A336M8RBM</t>
  </si>
  <si>
    <t>TEPSLB21A336M8RHA</t>
  </si>
  <si>
    <t>TEPSLB21A336M8RSN</t>
  </si>
  <si>
    <t>TEPSLB21A336M8RSY</t>
  </si>
  <si>
    <t>TEPSLB21A336MLE8R</t>
  </si>
  <si>
    <t>TEPSLB21A336MLE8RF</t>
  </si>
  <si>
    <t>TEPSLB21A336MPC8R</t>
  </si>
  <si>
    <t>TEPSLB21A476M(35)8R</t>
  </si>
  <si>
    <t>TEPSLB21A476M(70)8R</t>
  </si>
  <si>
    <t>TEPSLB21A476M8R</t>
  </si>
  <si>
    <t>TEPSLB21A476M8RF</t>
  </si>
  <si>
    <t>TEPSLB21A476M8RFL</t>
  </si>
  <si>
    <t>TEPSLB21A476M8RSY</t>
  </si>
  <si>
    <t>TEPSLB21A476MHP8RSY</t>
  </si>
  <si>
    <t>TEPSLB21A476MLV8R</t>
  </si>
  <si>
    <t>TEPSLB21A476MOP8R</t>
  </si>
  <si>
    <t>TEPSLB21A476MOP8RSY</t>
  </si>
  <si>
    <t>TEPSLB21A626M45U8R</t>
  </si>
  <si>
    <t>TEPSLB21A626MHF8R</t>
  </si>
  <si>
    <t>TEPSLB21A685M8R</t>
  </si>
  <si>
    <t>TEPSLB21C106M8R</t>
  </si>
  <si>
    <t>TEPSLB21C106M8RF</t>
  </si>
  <si>
    <t>TEPSLB21C106MHF8R</t>
  </si>
  <si>
    <t>TEPSLB21C106MPC8R</t>
  </si>
  <si>
    <t>TEPSLB21C156MHF8R</t>
  </si>
  <si>
    <t>TEPSLB21C336M708RKT</t>
  </si>
  <si>
    <t>TEPSLB21C336M708RKT2</t>
  </si>
  <si>
    <t>TEPSLB21C336M8R</t>
  </si>
  <si>
    <t>TEPSLB21C336M8RF</t>
  </si>
  <si>
    <t>TEPSLB21C336M8RSY</t>
  </si>
  <si>
    <t>TEPSLB21C475M8R</t>
  </si>
  <si>
    <t>TEPSLB21C556M708RKT3</t>
  </si>
  <si>
    <t>TEPSLB21C556M70RHF8R</t>
  </si>
  <si>
    <t>TEPSLB21C685M8R</t>
  </si>
  <si>
    <t>TEPSLB21D336M8R</t>
  </si>
  <si>
    <t>TEPSLB21D336M8RFL</t>
  </si>
  <si>
    <t>TEPSLB21D336M908RKT</t>
  </si>
  <si>
    <t>TEPSLB21E156M1008RKT</t>
  </si>
  <si>
    <t>TEPSLB21E156M1008RKT2</t>
  </si>
  <si>
    <t>TEPSLB21E156M8R</t>
  </si>
  <si>
    <t>TEPSLB21E156M8RCP</t>
  </si>
  <si>
    <t>TEPSLB21E156M8RF</t>
  </si>
  <si>
    <t>TEPSLB21E156M8RFT</t>
  </si>
  <si>
    <t>TEPSLB21E226M8R</t>
  </si>
  <si>
    <t>TEPSLB21E226M8RLG</t>
  </si>
  <si>
    <t>TEPSLB21E226M908RKT2</t>
  </si>
  <si>
    <t>TEPSLB21E685M8R</t>
  </si>
  <si>
    <t>TEPSLB21E685M8RF</t>
  </si>
  <si>
    <t>TEPSLB21E685M8RLD</t>
  </si>
  <si>
    <t>TEPSLB21E685M8RSY</t>
  </si>
  <si>
    <t>TEPSLB21V106M8R</t>
  </si>
  <si>
    <t>TEPSLB30E107M8R</t>
  </si>
  <si>
    <t>NEO B3 CAPACITOR</t>
  </si>
  <si>
    <t>TEPSLB30E227M(30)8R</t>
  </si>
  <si>
    <t>TEPSLB30E227M(35)8R</t>
  </si>
  <si>
    <t>TEPSLB30E227M308RKT</t>
  </si>
  <si>
    <t>TEPSLB30E227M308RKT2</t>
  </si>
  <si>
    <t>TEPSLB30E227M358RKT</t>
  </si>
  <si>
    <t>TEPSLB30E227M358RKT2</t>
  </si>
  <si>
    <t>TEPSLB30G107M8R</t>
  </si>
  <si>
    <t>TEPSLB30G227M(25)8R</t>
  </si>
  <si>
    <t>TEPSLB30G227M(30)8R</t>
  </si>
  <si>
    <t>TEPSLB30G227M(35)8R</t>
  </si>
  <si>
    <t>TEPSLB30G227M258RKT</t>
  </si>
  <si>
    <t>TEPSLB30G227M258RKT2</t>
  </si>
  <si>
    <t>TEPSLB30G227M308RKT</t>
  </si>
  <si>
    <t>TEPSLB30G227M308RKT2</t>
  </si>
  <si>
    <t>TEPSLB30G227M358RKT</t>
  </si>
  <si>
    <t>TEPSLB30G227M358RKT2</t>
  </si>
  <si>
    <t>TEPSLB30G476M8R</t>
  </si>
  <si>
    <t>TEPSLB30G476M8RF</t>
  </si>
  <si>
    <t>TEPSLB30G476M8RSN</t>
  </si>
  <si>
    <t>TEPSLB30J107M(45)8R</t>
  </si>
  <si>
    <t>TEPSLB30J107M(45)8RF</t>
  </si>
  <si>
    <t>TEPSLB30J107M35HF8R</t>
  </si>
  <si>
    <t>TEPSLB30J107M458RKT2</t>
  </si>
  <si>
    <t>TEPSLB30J107M8R</t>
  </si>
  <si>
    <t>TEPSLB30J157M(35)8R</t>
  </si>
  <si>
    <t>TEPSLB30J157M308RKT3</t>
  </si>
  <si>
    <t>TEPSLB30J157M308RKT6</t>
  </si>
  <si>
    <t>TEPSLB30J157M308RKTA</t>
  </si>
  <si>
    <t>TEPSLB30J157M308RKTB</t>
  </si>
  <si>
    <t>TEPSLB30J157M30AHF8R</t>
  </si>
  <si>
    <t>TEPSLB30J157M30AHF8R-J</t>
  </si>
  <si>
    <t>TEPSLB30J157M30CPF8R</t>
  </si>
  <si>
    <t>TEPSLB30J157M30HF8R</t>
  </si>
  <si>
    <t>TEPSLB30J157M30PF8R</t>
  </si>
  <si>
    <t>TEPSLB30J157M30PHF8R</t>
  </si>
  <si>
    <t>TEPSLB30J157M30SHF8R</t>
  </si>
  <si>
    <t>TEPSLB30J157M358RKT</t>
  </si>
  <si>
    <t>TEPSLB30J157M358RKT2</t>
  </si>
  <si>
    <t>TEPSLB30J157M358RKT5</t>
  </si>
  <si>
    <t>TEPSLB30J157M35HF8R</t>
  </si>
  <si>
    <t>TEPSLB30J226M708RSY</t>
  </si>
  <si>
    <t>TEPSLB30J226M8R</t>
  </si>
  <si>
    <t>TEPSLB30J226M8RSN</t>
  </si>
  <si>
    <t>TEPSLB30J336M8R</t>
  </si>
  <si>
    <t>TEPSLB30J336M8RHG</t>
  </si>
  <si>
    <t>TEPSLB30J336M8RSN</t>
  </si>
  <si>
    <t>TEPSLB30J336MPC8R</t>
  </si>
  <si>
    <t>TEPSLB30J476M(55)8R</t>
  </si>
  <si>
    <t>TEPSLB30J476M558RSY</t>
  </si>
  <si>
    <t>TEPSLB30J476M708RSN</t>
  </si>
  <si>
    <t>TEPSLB30J476M708RSY</t>
  </si>
  <si>
    <t>TEPSLB30J476M7V8R</t>
  </si>
  <si>
    <t>TEPSLB30J476M8R</t>
  </si>
  <si>
    <t>TEPSLB30J476M8RAS</t>
  </si>
  <si>
    <t>TEPSLB30J476M8RF</t>
  </si>
  <si>
    <t>TEPSLB30J476M8RFHA</t>
  </si>
  <si>
    <t>TEPSLB30J476M8RSN</t>
  </si>
  <si>
    <t>TEPSLB30J476M8RSY</t>
  </si>
  <si>
    <t>TEPSLB30J476MH8R</t>
  </si>
  <si>
    <t>TEPSLB30J476MPC8R</t>
  </si>
  <si>
    <t>TEPSLB30J476MSM8R</t>
  </si>
  <si>
    <t>TEPSLB30J686M8R</t>
  </si>
  <si>
    <t>TEPSLB31A226M708RSY</t>
  </si>
  <si>
    <t>TEPSLB31A226M8R</t>
  </si>
  <si>
    <t>TEPSLB31A226M8RSY</t>
  </si>
  <si>
    <t>TEPSLB31A336M8R</t>
  </si>
  <si>
    <t>TEPSLB31A336MHD8R</t>
  </si>
  <si>
    <t>TEPSLB31A336MHDS8R</t>
  </si>
  <si>
    <t>TEPSLB31A336MHP8RSY</t>
  </si>
  <si>
    <t>TEPSLB31A336MOP8R</t>
  </si>
  <si>
    <t>TEPSLB31A336MOP8RSY</t>
  </si>
  <si>
    <t>TEPSLB31A476M(45)8R</t>
  </si>
  <si>
    <t>TEPSLB31A476M(45)8RSY</t>
  </si>
  <si>
    <t>TEPSLB31A476M458RKT2</t>
  </si>
  <si>
    <t>TEPSLB31A476M558RKT3</t>
  </si>
  <si>
    <t>TEPSLB31A476M55HF8R</t>
  </si>
  <si>
    <t>TEPSLB31A476M8R</t>
  </si>
  <si>
    <t>TEPSLB31A476M8RFL</t>
  </si>
  <si>
    <t>TEPSLB31A476M8RSY</t>
  </si>
  <si>
    <t>TEPSLB31A476MHP8RSY</t>
  </si>
  <si>
    <t>TEPSLB31C336M(45)8R</t>
  </si>
  <si>
    <t>TEPSLB31C336M(55)8R</t>
  </si>
  <si>
    <t>TEPSLB31C336M(55)8RF</t>
  </si>
  <si>
    <t>TEPSLB31C336M(55)8RLD</t>
  </si>
  <si>
    <t>TEPSLB31C336M458RKT</t>
  </si>
  <si>
    <t>TEPSLB31C336M458RKT2</t>
  </si>
  <si>
    <t>TEPSLB31C336M558RKT2</t>
  </si>
  <si>
    <t>TEPSLB31C336M558RKT3</t>
  </si>
  <si>
    <t>TEPSLB31C336M558RKTA</t>
  </si>
  <si>
    <t>TEPSLB31C336M55E8RLG</t>
  </si>
  <si>
    <t>TEPSLB31C336M55HF8R</t>
  </si>
  <si>
    <t>TEPSLB31C336M55HF8R-J</t>
  </si>
  <si>
    <t>TEPSLB31C336M55HF8RKT</t>
  </si>
  <si>
    <t>TEPSLB31C336M55PF8R</t>
  </si>
  <si>
    <t>TEPSLB31C336M55PHF8R</t>
  </si>
  <si>
    <t>TEPSLB31C336M8R</t>
  </si>
  <si>
    <t>TEPSLB31E685M1008RKT</t>
  </si>
  <si>
    <t>TEPSLB31E685M8R</t>
  </si>
  <si>
    <t>TEPSLB31E685M8RF</t>
  </si>
  <si>
    <t>TEPSLB31E685MHF8R</t>
  </si>
  <si>
    <t>TEPSLB31M276M558RKT3</t>
  </si>
  <si>
    <t>TEPSLB31M276M55QHF8R</t>
  </si>
  <si>
    <t>TEPSLB31M276M55QHF8RSA</t>
  </si>
  <si>
    <t>THR-1-A</t>
  </si>
  <si>
    <t>THR-1-B</t>
  </si>
  <si>
    <t>THR-1-B1</t>
  </si>
  <si>
    <t>THR-1-C</t>
  </si>
  <si>
    <t>THR-1-D</t>
  </si>
  <si>
    <t>THR-1-E</t>
  </si>
  <si>
    <t>THR-1-F</t>
  </si>
  <si>
    <t>THR-1-G</t>
  </si>
  <si>
    <t>THR-1-H</t>
  </si>
  <si>
    <t>THR-1-I</t>
  </si>
  <si>
    <t>THR-1-J</t>
  </si>
  <si>
    <t>THR-1-K</t>
  </si>
  <si>
    <t>THR-1-L</t>
  </si>
  <si>
    <t>THR-1-M</t>
  </si>
  <si>
    <t>THR-1-N</t>
  </si>
  <si>
    <t>THR-1-O</t>
  </si>
  <si>
    <t>THR-1-P</t>
  </si>
  <si>
    <t>THR-1-Q</t>
  </si>
  <si>
    <t>THR-1-R</t>
  </si>
  <si>
    <t>THR-1-S</t>
  </si>
  <si>
    <t>THR-1-T</t>
  </si>
  <si>
    <t>THR-1-U</t>
  </si>
  <si>
    <t>THR-1-V</t>
  </si>
  <si>
    <t>THR-1-W</t>
  </si>
  <si>
    <t>THR-1-X</t>
  </si>
  <si>
    <t>THR-1-Y</t>
  </si>
  <si>
    <t>THR-1-Z</t>
  </si>
  <si>
    <t>THR-2-A</t>
  </si>
  <si>
    <t>THR-2-B</t>
  </si>
  <si>
    <t>THR-2-C</t>
  </si>
  <si>
    <t>THR-2-D</t>
  </si>
  <si>
    <t>THR-2-E</t>
  </si>
  <si>
    <t>THR-2-F</t>
  </si>
  <si>
    <t>THR-2-G</t>
  </si>
  <si>
    <t>THR-2-H</t>
  </si>
  <si>
    <t>TLPSLB20J476M(70)8RE</t>
  </si>
  <si>
    <t>TLPSLB21A626MHF8RE</t>
  </si>
  <si>
    <t>YAGEO Dopped Ta Wire 0.0074</t>
  </si>
  <si>
    <t>YDW074DR</t>
  </si>
  <si>
    <t>YAGEO Dopped-Recycled Ta Wire 0.0074"</t>
  </si>
  <si>
    <t>YDW074RA</t>
  </si>
  <si>
    <t>YAGEO Annealed Dopped-Recycled Ta Wire 0.0074</t>
  </si>
  <si>
    <t>YAGEO Dopped-Recycled Ta Wire 0.0133"</t>
  </si>
  <si>
    <t>Cost</t>
  </si>
  <si>
    <t>Nit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</si>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</sst>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1" applyAlignment="1">
      <alignment horizontal="center"/>
    </xf>
    <xf numFmtId="43" fontId="0" fillId="0" borderId="0" xfId="2" applyFont="1" applyFill="1"/>
    <xf numFmtId="43" fontId="0" fillId="0" borderId="0" xfId="2" applyFont="1"/>
    <xf numFmtId="0" fontId="1" fillId="0" borderId="0" xfId="1"/>
    <xf numFmtId="0" fontId="1" fillId="0" borderId="0" xfId="1" applyAlignment="1">
      <alignment horizontal="left"/>
    </xf>
    <xf numFmtId="0" fontId="0" fillId="2" borderId="0" xfId="0" applyFill="1"/>
    <xf numFmtId="49" fontId="0" fillId="2" borderId="0" xfId="0" applyNumberFormat="1" applyFill="1"/>
  </cellXfs>
  <cellStyles count="3">
    <cellStyle name="Comma 2" xfId="2" xr:uid="{DDFEFAE1-5CD6-414F-A0A8-07A44EE691E8}"/>
    <cellStyle name="Normal" xfId="0" builtinId="0"/>
    <cellStyle name="Normal 2" xfId="1" xr:uid="{DA222123-143B-45D3-A0D0-80A2FE412A94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1AC8D-3384-43D8-A5B3-29D9A9F1402D}" name="Table1" displayName="Table1" ref="A1:I215" totalsRowShown="0">
  <autoFilter ref="A1:I215" xr:uid="{DF37D423-7BC7-495A-8333-0452BBF289DB}"/>
  <sortState xmlns:xlrd2="http://schemas.microsoft.com/office/spreadsheetml/2017/richdata2" ref="A2:H215">
    <sortCondition descending="1" ref="G1:G215"/>
  </sortState>
  <tableColumns count="9">
    <tableColumn id="9" xr3:uid="{A4E1DFDB-402A-4E82-9C86-DB900507F199}" name="ProdMaterialCode" dataDxfId="11">
      <calculatedColumnFormula>_xlfn.XLOOKUP(Table1[[#This Row],[MaterialCode]],#REF!,#REF!)</calculatedColumnFormula>
    </tableColumn>
    <tableColumn id="1" xr3:uid="{B610EA1F-67DA-4429-BC22-CF26B3CE0F5B}" name="MaterialCode" dataDxfId="10"/>
    <tableColumn id="5" xr3:uid="{3B2259FE-B363-4F22-9501-77D8F7376199}" name="Column1" dataDxfId="9">
      <calculatedColumnFormula>TRIM(SUBSTITUTE(B2,CHAR(160),""))</calculatedColumnFormula>
    </tableColumn>
    <tableColumn id="2" xr3:uid="{DBEA2055-2B52-436A-8087-2018E3A19FE4}" name="MaterialName"/>
    <tableColumn id="3" xr3:uid="{1EA2BC32-DADB-446C-9AEF-39F69D537D32}" name="Unit"/>
    <tableColumn id="4" xr3:uid="{619BB597-7F25-4865-AE2F-829AD3A7F6C5}" name="Workshop"/>
    <tableColumn id="6" xr3:uid="{70FE910D-A256-4424-A70F-5379423177F1}" name="Cost">
      <calculatedColumnFormula>_xlfn.XLOOKUP(Table1[[#This Row],[MaterialCode]],cost[Item],cost[Unit Cost])</calculatedColumnFormula>
    </tableColumn>
    <tableColumn id="7" xr3:uid="{5C709ED4-3BAB-4CC9-AF66-799CE3EBC28F}" name="Nit">
      <calculatedColumnFormula>_xlfn.XLOOKUP(Table1[[#This Row],[MaterialCode]],cost[Item],cost[Unit])</calculatedColumnFormula>
    </tableColumn>
    <tableColumn id="8" xr3:uid="{CBAC34FA-7663-42DC-84B3-7DB1F439CAF4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0B6B8-3DB4-418C-8DF2-CCFEF763033A}" name="cost" displayName="cost" ref="A1:F2707" totalsRowShown="0" dataDxfId="8" dataCellStyle="Comma 2">
  <autoFilter ref="A1:F2707" xr:uid="{2E5B517A-820A-4159-8099-A750A12FE795}"/>
  <tableColumns count="6">
    <tableColumn id="1" xr3:uid="{A1A740EB-824C-45F4-81E1-6C0B2CD2E6AB}" name="Item" dataDxfId="7" dataCellStyle="Normal 2"/>
    <tableColumn id="2" xr3:uid="{F3532833-D956-408B-9598-2779AFDC9659}" name="Description " dataDxfId="6" dataCellStyle="Normal 2"/>
    <tableColumn id="3" xr3:uid="{912D002E-3259-4272-89AA-C31BEF100E54}" name="Unit" dataDxfId="5" dataCellStyle="Normal 2"/>
    <tableColumn id="4" xr3:uid="{4F857258-FA97-49AC-B342-1D218E5A3A66}" name="Unit Cost" dataDxfId="4" dataCellStyle="Comma 2"/>
    <tableColumn id="5" xr3:uid="{A136DCDD-AB08-4D05-A296-9588BC61D0A8}" name="Material" dataDxfId="3" dataCellStyle="Comma 2"/>
    <tableColumn id="6" xr3:uid="{A5A0B454-519C-4E33-BF28-3E89E08BB0A9}" name="Material Overhead" dataDxfId="2" dataCellStyle="Comma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51FF-A40E-48AA-843E-534773F77D92}">
  <dimension ref="A1:I215"/>
  <sheetViews>
    <sheetView tabSelected="1" zoomScale="90" zoomScaleNormal="90" workbookViewId="0">
      <selection activeCell="J10" sqref="J10"/>
    </sheetView>
  </sheetViews>
  <sheetFormatPr defaultColWidth="9" defaultRowHeight="12" x14ac:dyDescent="0.3"/>
  <cols>
    <col min="1" max="1" width="25.77734375" bestFit="1" customWidth="1"/>
    <col min="2" max="2" width="46.21875" customWidth="1"/>
    <col min="3" max="3" width="46.21875" hidden="1" customWidth="1"/>
    <col min="4" max="4" width="5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3327</v>
      </c>
      <c r="H1" t="s">
        <v>3328</v>
      </c>
      <c r="I1" t="s">
        <v>3329</v>
      </c>
    </row>
    <row r="2" spans="1:9" x14ac:dyDescent="0.3">
      <c r="A2" t="s">
        <v>42</v>
      </c>
      <c r="B2" s="1">
        <v>1000000010</v>
      </c>
      <c r="C2" t="str">
        <f>TRIM(SUBSTITUTE(B2,CHAR(160),""))</f>
        <v>1000000010</v>
      </c>
      <c r="D2" t="s">
        <v>43</v>
      </c>
      <c r="E2" t="s">
        <v>44</v>
      </c>
      <c r="F2" t="s">
        <v>41</v>
      </c>
      <c r="G2" t="e">
        <f>_xlfn.XLOOKUP(Table1[[#This Row],[MaterialCode]],cost[Item],cost[Unit Cost])</f>
        <v>#N/A</v>
      </c>
      <c r="H2" t="e">
        <f>_xlfn.XLOOKUP(Table1[[#This Row],[MaterialCode]],cost[Item],cost[Unit])</f>
        <v>#N/A</v>
      </c>
    </row>
    <row r="3" spans="1:9" x14ac:dyDescent="0.3">
      <c r="A3" t="s">
        <v>45</v>
      </c>
      <c r="B3" s="1">
        <v>1000000011</v>
      </c>
      <c r="C3" t="str">
        <f>TRIM(SUBSTITUTE(B3,CHAR(160),""))</f>
        <v>1000000011</v>
      </c>
      <c r="D3" t="s">
        <v>46</v>
      </c>
      <c r="E3" t="s">
        <v>44</v>
      </c>
      <c r="F3" t="s">
        <v>41</v>
      </c>
      <c r="G3" t="e">
        <f>_xlfn.XLOOKUP(Table1[[#This Row],[MaterialCode]],cost[Item],cost[Unit Cost])</f>
        <v>#N/A</v>
      </c>
      <c r="H3" t="e">
        <f>_xlfn.XLOOKUP(Table1[[#This Row],[MaterialCode]],cost[Item],cost[Unit])</f>
        <v>#N/A</v>
      </c>
    </row>
    <row r="4" spans="1:9" x14ac:dyDescent="0.3">
      <c r="A4" t="s">
        <v>47</v>
      </c>
      <c r="B4" s="1">
        <v>1000000007</v>
      </c>
      <c r="C4" t="str">
        <f>TRIM(SUBSTITUTE(B4,CHAR(160),""))</f>
        <v>1000000007</v>
      </c>
      <c r="D4" t="s">
        <v>48</v>
      </c>
      <c r="E4" t="s">
        <v>44</v>
      </c>
      <c r="F4" t="s">
        <v>41</v>
      </c>
      <c r="G4" t="e">
        <f>_xlfn.XLOOKUP(Table1[[#This Row],[MaterialCode]],cost[Item],cost[Unit Cost])</f>
        <v>#N/A</v>
      </c>
      <c r="H4" t="e">
        <f>_xlfn.XLOOKUP(Table1[[#This Row],[MaterialCode]],cost[Item],cost[Unit])</f>
        <v>#N/A</v>
      </c>
    </row>
    <row r="5" spans="1:9" x14ac:dyDescent="0.3">
      <c r="A5" t="s">
        <v>69</v>
      </c>
      <c r="B5" s="1">
        <v>1000000002</v>
      </c>
      <c r="C5" t="str">
        <f>TRIM(SUBSTITUTE(B5,CHAR(160),""))</f>
        <v>1000000002</v>
      </c>
      <c r="D5" t="s">
        <v>70</v>
      </c>
      <c r="E5" t="s">
        <v>26</v>
      </c>
      <c r="F5" t="s">
        <v>33</v>
      </c>
      <c r="G5" t="e">
        <f>_xlfn.XLOOKUP(Table1[[#This Row],[MaterialCode]],cost[Item],cost[Unit Cost])</f>
        <v>#N/A</v>
      </c>
      <c r="H5" t="e">
        <f>_xlfn.XLOOKUP(Table1[[#This Row],[MaterialCode]],cost[Item],cost[Unit])</f>
        <v>#N/A</v>
      </c>
    </row>
    <row r="6" spans="1:9" x14ac:dyDescent="0.3">
      <c r="A6" t="s">
        <v>141</v>
      </c>
      <c r="B6" s="1" t="s">
        <v>142</v>
      </c>
      <c r="C6" t="str">
        <f>TRIM(SUBSTITUTE(B6,CHAR(160),""))</f>
        <v>Diamond Sheet (50-55mm)</v>
      </c>
      <c r="D6" t="s">
        <v>143</v>
      </c>
      <c r="E6" t="s">
        <v>8</v>
      </c>
      <c r="F6" t="s">
        <v>21</v>
      </c>
      <c r="G6" t="e">
        <f>_xlfn.XLOOKUP(Table1[[#This Row],[MaterialCode]],cost[Item],cost[Unit Cost])</f>
        <v>#N/A</v>
      </c>
      <c r="H6" t="e">
        <f>_xlfn.XLOOKUP(Table1[[#This Row],[MaterialCode]],cost[Item],cost[Unit])</f>
        <v>#N/A</v>
      </c>
    </row>
    <row r="7" spans="1:9" x14ac:dyDescent="0.3">
      <c r="A7" t="s">
        <v>304</v>
      </c>
      <c r="B7" s="1">
        <v>1000000003</v>
      </c>
      <c r="C7" t="str">
        <f>TRIM(SUBSTITUTE(B7,CHAR(160),""))</f>
        <v>1000000003</v>
      </c>
      <c r="D7" t="s">
        <v>305</v>
      </c>
      <c r="E7" t="s">
        <v>26</v>
      </c>
      <c r="F7" t="s">
        <v>33</v>
      </c>
      <c r="G7" t="e">
        <f>_xlfn.XLOOKUP(Table1[[#This Row],[MaterialCode]],cost[Item],cost[Unit Cost])</f>
        <v>#N/A</v>
      </c>
      <c r="H7" t="e">
        <f>_xlfn.XLOOKUP(Table1[[#This Row],[MaterialCode]],cost[Item],cost[Unit])</f>
        <v>#N/A</v>
      </c>
    </row>
    <row r="8" spans="1:9" x14ac:dyDescent="0.3">
      <c r="A8" t="s">
        <v>306</v>
      </c>
      <c r="B8" s="1" t="s">
        <v>307</v>
      </c>
      <c r="C8" t="str">
        <f>TRIM(SUBSTITUTE(B8,CHAR(160),""))</f>
        <v>Resin Tube ( small )</v>
      </c>
      <c r="D8" t="s">
        <v>308</v>
      </c>
      <c r="E8" t="s">
        <v>8</v>
      </c>
      <c r="F8" t="s">
        <v>9</v>
      </c>
      <c r="G8" t="e">
        <f>_xlfn.XLOOKUP(Table1[[#This Row],[MaterialCode]],cost[Item],cost[Unit Cost])</f>
        <v>#N/A</v>
      </c>
      <c r="H8" t="e">
        <f>_xlfn.XLOOKUP(Table1[[#This Row],[MaterialCode]],cost[Item],cost[Unit])</f>
        <v>#N/A</v>
      </c>
    </row>
    <row r="9" spans="1:9" x14ac:dyDescent="0.3">
      <c r="A9" t="s">
        <v>332</v>
      </c>
      <c r="B9" s="1">
        <v>10000000005</v>
      </c>
      <c r="C9" t="str">
        <f>TRIM(SUBSTITUTE(B9,CHAR(160),""))</f>
        <v>10000000005</v>
      </c>
      <c r="D9" t="s">
        <v>333</v>
      </c>
      <c r="E9" t="s">
        <v>15</v>
      </c>
      <c r="F9" t="s">
        <v>30</v>
      </c>
      <c r="G9" t="e">
        <f>_xlfn.XLOOKUP(Table1[[#This Row],[MaterialCode]],cost[Item],cost[Unit Cost])</f>
        <v>#N/A</v>
      </c>
      <c r="H9" t="e">
        <f>_xlfn.XLOOKUP(Table1[[#This Row],[MaterialCode]],cost[Item],cost[Unit])</f>
        <v>#N/A</v>
      </c>
    </row>
    <row r="10" spans="1:9" x14ac:dyDescent="0.3">
      <c r="A10" t="s">
        <v>338</v>
      </c>
      <c r="B10" s="1" t="s">
        <v>339</v>
      </c>
      <c r="C10" t="str">
        <f>TRIM(SUBSTITUTE(B10,CHAR(160),""))</f>
        <v>Spay Daifee GA-7500 (Molding)</v>
      </c>
      <c r="D10" t="s">
        <v>340</v>
      </c>
      <c r="E10" t="s">
        <v>8</v>
      </c>
      <c r="F10" t="s">
        <v>23</v>
      </c>
      <c r="G10" t="e">
        <f>_xlfn.XLOOKUP(Table1[[#This Row],[MaterialCode]],cost[Item],cost[Unit Cost])</f>
        <v>#N/A</v>
      </c>
      <c r="H10" t="e">
        <f>_xlfn.XLOOKUP(Table1[[#This Row],[MaterialCode]],cost[Item],cost[Unit])</f>
        <v>#N/A</v>
      </c>
    </row>
    <row r="11" spans="1:9" x14ac:dyDescent="0.3">
      <c r="A11" t="s">
        <v>341</v>
      </c>
      <c r="B11" s="1">
        <v>1205101007</v>
      </c>
      <c r="C11" t="str">
        <f>TRIM(SUBSTITUTE(B11,CHAR(160),""))</f>
        <v>1205101007</v>
      </c>
      <c r="D11" t="s">
        <v>342</v>
      </c>
      <c r="E11" t="s">
        <v>15</v>
      </c>
      <c r="F11" t="s">
        <v>33</v>
      </c>
      <c r="G11" t="e">
        <f>_xlfn.XLOOKUP(Table1[[#This Row],[MaterialCode]],cost[Item],cost[Unit Cost])</f>
        <v>#N/A</v>
      </c>
      <c r="H11" t="e">
        <f>_xlfn.XLOOKUP(Table1[[#This Row],[MaterialCode]],cost[Item],cost[Unit])</f>
        <v>#N/A</v>
      </c>
    </row>
    <row r="12" spans="1:9" x14ac:dyDescent="0.3">
      <c r="A12" t="s">
        <v>411</v>
      </c>
      <c r="B12" s="1">
        <v>1000000004</v>
      </c>
      <c r="C12" t="str">
        <f>TRIM(SUBSTITUTE(B12,CHAR(160),""))</f>
        <v>1000000004</v>
      </c>
      <c r="D12" t="s">
        <v>412</v>
      </c>
      <c r="E12" t="s">
        <v>26</v>
      </c>
      <c r="F12" t="s">
        <v>33</v>
      </c>
      <c r="G12" t="e">
        <f>_xlfn.XLOOKUP(Table1[[#This Row],[MaterialCode]],cost[Item],cost[Unit Cost])</f>
        <v>#N/A</v>
      </c>
      <c r="H12" t="e">
        <f>_xlfn.XLOOKUP(Table1[[#This Row],[MaterialCode]],cost[Item],cost[Unit])</f>
        <v>#N/A</v>
      </c>
    </row>
    <row r="13" spans="1:9" x14ac:dyDescent="0.3">
      <c r="A13" t="s">
        <v>413</v>
      </c>
      <c r="B13" s="1">
        <v>1000000001</v>
      </c>
      <c r="C13" t="str">
        <f>TRIM(SUBSTITUTE(B13,CHAR(160),""))</f>
        <v>1000000001</v>
      </c>
      <c r="D13" t="s">
        <v>414</v>
      </c>
      <c r="E13" t="s">
        <v>26</v>
      </c>
      <c r="F13" t="s">
        <v>30</v>
      </c>
      <c r="G13" t="e">
        <f>_xlfn.XLOOKUP(Table1[[#This Row],[MaterialCode]],cost[Item],cost[Unit Cost])</f>
        <v>#N/A</v>
      </c>
      <c r="H13" t="e">
        <f>_xlfn.XLOOKUP(Table1[[#This Row],[MaterialCode]],cost[Item],cost[Unit])</f>
        <v>#N/A</v>
      </c>
    </row>
    <row r="14" spans="1:9" x14ac:dyDescent="0.3">
      <c r="A14" t="s">
        <v>322</v>
      </c>
      <c r="B14" s="1">
        <v>1201400002</v>
      </c>
      <c r="C14" t="str">
        <f>TRIM(SUBSTITUTE(B14,CHAR(160),""))</f>
        <v>1201400002</v>
      </c>
      <c r="D14" t="s">
        <v>323</v>
      </c>
      <c r="E14" t="s">
        <v>15</v>
      </c>
      <c r="F14" t="s">
        <v>18</v>
      </c>
      <c r="G14">
        <f>_xlfn.XLOOKUP(Table1[[#This Row],[MaterialCode]],cost[Item],cost[Unit Cost])</f>
        <v>93678.273286299998</v>
      </c>
      <c r="H14" t="str">
        <f>_xlfn.XLOOKUP(Table1[[#This Row],[MaterialCode]],cost[Item],cost[Unit])</f>
        <v>KG</v>
      </c>
    </row>
    <row r="15" spans="1:9" x14ac:dyDescent="0.3">
      <c r="A15" t="s">
        <v>324</v>
      </c>
      <c r="B15" s="1">
        <v>1201400003</v>
      </c>
      <c r="C15" t="str">
        <f>TRIM(SUBSTITUTE(B15,CHAR(160),""))</f>
        <v>1201400003</v>
      </c>
      <c r="D15" t="s">
        <v>325</v>
      </c>
      <c r="E15" t="s">
        <v>15</v>
      </c>
      <c r="F15" t="s">
        <v>18</v>
      </c>
      <c r="G15">
        <f>_xlfn.XLOOKUP(Table1[[#This Row],[MaterialCode]],cost[Item],cost[Unit Cost])</f>
        <v>93678.273286299998</v>
      </c>
      <c r="H15" t="str">
        <f>_xlfn.XLOOKUP(Table1[[#This Row],[MaterialCode]],cost[Item],cost[Unit])</f>
        <v>KG</v>
      </c>
    </row>
    <row r="16" spans="1:9" x14ac:dyDescent="0.3">
      <c r="A16" t="s">
        <v>155</v>
      </c>
      <c r="B16" s="1">
        <v>1201400008</v>
      </c>
      <c r="C16" t="str">
        <f>TRIM(SUBSTITUTE(B16,CHAR(160),""))</f>
        <v>1201400008</v>
      </c>
      <c r="D16" t="s">
        <v>156</v>
      </c>
      <c r="E16" t="s">
        <v>12</v>
      </c>
      <c r="F16" t="s">
        <v>9</v>
      </c>
      <c r="G16">
        <f>_xlfn.XLOOKUP(Table1[[#This Row],[MaterialCode]],cost[Item],cost[Unit Cost])</f>
        <v>92300</v>
      </c>
      <c r="H16" t="str">
        <f>_xlfn.XLOOKUP(Table1[[#This Row],[MaterialCode]],cost[Item],cost[Unit])</f>
        <v>KG</v>
      </c>
    </row>
    <row r="17" spans="1:9" x14ac:dyDescent="0.3">
      <c r="A17" t="s">
        <v>309</v>
      </c>
      <c r="B17" s="1">
        <v>1201301008</v>
      </c>
      <c r="C17" t="str">
        <f>TRIM(SUBSTITUTE(B17,CHAR(160),""))</f>
        <v>1201301008</v>
      </c>
      <c r="D17" t="s">
        <v>310</v>
      </c>
      <c r="E17" t="s">
        <v>15</v>
      </c>
      <c r="F17" t="s">
        <v>41</v>
      </c>
      <c r="G17">
        <f>_xlfn.XLOOKUP(Table1[[#This Row],[MaterialCode]],cost[Item],cost[Unit Cost])</f>
        <v>52433.332627199998</v>
      </c>
      <c r="H17" t="str">
        <f>_xlfn.XLOOKUP(Table1[[#This Row],[MaterialCode]],cost[Item],cost[Unit])</f>
        <v>KG</v>
      </c>
    </row>
    <row r="18" spans="1:9" x14ac:dyDescent="0.3">
      <c r="A18" t="s">
        <v>330</v>
      </c>
      <c r="B18" s="1">
        <v>1201301007</v>
      </c>
      <c r="C18" t="str">
        <f>TRIM(SUBSTITUTE(B18,CHAR(160),""))</f>
        <v>1201301007</v>
      </c>
      <c r="D18" t="s">
        <v>331</v>
      </c>
      <c r="E18" t="s">
        <v>15</v>
      </c>
      <c r="F18" t="s">
        <v>41</v>
      </c>
      <c r="G18">
        <f>_xlfn.XLOOKUP(Table1[[#This Row],[MaterialCode]],cost[Item],cost[Unit Cost])</f>
        <v>41318.924184000003</v>
      </c>
      <c r="H18" t="str">
        <f>_xlfn.XLOOKUP(Table1[[#This Row],[MaterialCode]],cost[Item],cost[Unit])</f>
        <v>KG</v>
      </c>
    </row>
    <row r="19" spans="1:9" x14ac:dyDescent="0.3">
      <c r="A19" t="s">
        <v>328</v>
      </c>
      <c r="B19" s="1">
        <v>1201201004</v>
      </c>
      <c r="C19" t="str">
        <f>TRIM(SUBSTITUTE(B19,CHAR(160),""))</f>
        <v>1201201004</v>
      </c>
      <c r="D19" t="s">
        <v>329</v>
      </c>
      <c r="E19" t="s">
        <v>12</v>
      </c>
      <c r="F19" t="s">
        <v>27</v>
      </c>
      <c r="G19">
        <f>_xlfn.XLOOKUP(Table1[[#This Row],[MaterialCode]],cost[Item],cost[Unit Cost])</f>
        <v>37500</v>
      </c>
      <c r="H19" t="str">
        <f>_xlfn.XLOOKUP(Table1[[#This Row],[MaterialCode]],cost[Item],cost[Unit])</f>
        <v>KG</v>
      </c>
    </row>
    <row r="20" spans="1:9" x14ac:dyDescent="0.3">
      <c r="A20" t="s">
        <v>415</v>
      </c>
      <c r="B20" s="1">
        <v>1401621001</v>
      </c>
      <c r="C20" t="str">
        <f>TRIM(SUBSTITUTE(B20,CHAR(160),""))</f>
        <v>1401621001</v>
      </c>
      <c r="D20" t="s">
        <v>416</v>
      </c>
      <c r="E20" t="s">
        <v>8</v>
      </c>
      <c r="F20" t="s">
        <v>9</v>
      </c>
      <c r="G20">
        <f>_xlfn.XLOOKUP(Table1[[#This Row],[MaterialCode]],cost[Item],cost[Unit Cost])</f>
        <v>21700</v>
      </c>
      <c r="H20" t="str">
        <f>_xlfn.XLOOKUP(Table1[[#This Row],[MaterialCode]],cost[Item],cost[Unit])</f>
        <v>EA</v>
      </c>
    </row>
    <row r="21" spans="1:9" x14ac:dyDescent="0.3">
      <c r="A21" t="s">
        <v>417</v>
      </c>
      <c r="B21" s="1">
        <v>1201521001</v>
      </c>
      <c r="C21" t="str">
        <f>TRIM(SUBSTITUTE(B21,CHAR(160),""))</f>
        <v>1201521001</v>
      </c>
      <c r="D21" t="s">
        <v>418</v>
      </c>
      <c r="E21" t="s">
        <v>12</v>
      </c>
      <c r="F21" t="s">
        <v>21</v>
      </c>
      <c r="G21">
        <f>_xlfn.XLOOKUP(Table1[[#This Row],[MaterialCode]],cost[Item],cost[Unit Cost])</f>
        <v>17258.527704</v>
      </c>
      <c r="H21" t="str">
        <f>_xlfn.XLOOKUP(Table1[[#This Row],[MaterialCode]],cost[Item],cost[Unit])</f>
        <v>EA</v>
      </c>
      <c r="I21">
        <f>Table1[[#This Row],[Cost]]/1500</f>
        <v>11.505685136</v>
      </c>
    </row>
    <row r="22" spans="1:9" x14ac:dyDescent="0.3">
      <c r="A22" t="s">
        <v>419</v>
      </c>
      <c r="B22" s="1">
        <v>1201521001</v>
      </c>
      <c r="C22" t="str">
        <f>TRIM(SUBSTITUTE(B22,CHAR(160),""))</f>
        <v>1201521001</v>
      </c>
      <c r="D22" t="s">
        <v>418</v>
      </c>
      <c r="E22" t="s">
        <v>12</v>
      </c>
      <c r="F22" t="s">
        <v>18</v>
      </c>
      <c r="G22">
        <f>_xlfn.XLOOKUP(Table1[[#This Row],[MaterialCode]],cost[Item],cost[Unit Cost])</f>
        <v>17258.527704</v>
      </c>
      <c r="H22" t="str">
        <f>_xlfn.XLOOKUP(Table1[[#This Row],[MaterialCode]],cost[Item],cost[Unit])</f>
        <v>EA</v>
      </c>
      <c r="I22">
        <f>Table1[[#This Row],[Cost]]/1500</f>
        <v>11.505685136</v>
      </c>
    </row>
    <row r="23" spans="1:9" x14ac:dyDescent="0.3">
      <c r="A23" t="s">
        <v>232</v>
      </c>
      <c r="B23" s="1">
        <v>1201400009</v>
      </c>
      <c r="C23" t="str">
        <f>TRIM(SUBSTITUTE(B23,CHAR(160),""))</f>
        <v>1201400009</v>
      </c>
      <c r="D23" t="s">
        <v>233</v>
      </c>
      <c r="E23" t="s">
        <v>12</v>
      </c>
      <c r="F23" t="s">
        <v>9</v>
      </c>
      <c r="G23">
        <f>_xlfn.XLOOKUP(Table1[[#This Row],[MaterialCode]],cost[Item],cost[Unit Cost])</f>
        <v>14334.440005</v>
      </c>
      <c r="H23" t="str">
        <f>_xlfn.XLOOKUP(Table1[[#This Row],[MaterialCode]],cost[Item],cost[Unit])</f>
        <v>KG</v>
      </c>
    </row>
    <row r="24" spans="1:9" x14ac:dyDescent="0.3">
      <c r="A24" t="s">
        <v>157</v>
      </c>
      <c r="B24" s="1">
        <v>1201221029</v>
      </c>
      <c r="C24" t="str">
        <f>TRIM(SUBSTITUTE(B24,CHAR(160),""))</f>
        <v>1201221029</v>
      </c>
      <c r="D24" t="s">
        <v>158</v>
      </c>
      <c r="E24" t="s">
        <v>15</v>
      </c>
      <c r="F24" t="s">
        <v>41</v>
      </c>
      <c r="G24">
        <f>_xlfn.XLOOKUP(Table1[[#This Row],[MaterialCode]],cost[Item],cost[Unit Cost])</f>
        <v>9565.8953566</v>
      </c>
      <c r="H24" t="str">
        <f>_xlfn.XLOOKUP(Table1[[#This Row],[MaterialCode]],cost[Item],cost[Unit])</f>
        <v>KG</v>
      </c>
    </row>
    <row r="25" spans="1:9" x14ac:dyDescent="0.3">
      <c r="A25" t="s">
        <v>395</v>
      </c>
      <c r="B25" s="1" t="s">
        <v>396</v>
      </c>
      <c r="C25" t="str">
        <f>TRIM(SUBSTITUTE(B25,CHAR(160),""))</f>
        <v>KDW0074D</v>
      </c>
      <c r="D25" t="s">
        <v>397</v>
      </c>
      <c r="E25" t="s">
        <v>398</v>
      </c>
      <c r="F25" t="s">
        <v>30</v>
      </c>
      <c r="G25">
        <f>_xlfn.XLOOKUP(Table1[[#This Row],[MaterialCode]],cost[Item],cost[Unit Cost])</f>
        <v>9473.7065600000005</v>
      </c>
      <c r="H25" t="str">
        <f>_xlfn.XLOOKUP(Table1[[#This Row],[MaterialCode]],cost[Item],cost[Unit])</f>
        <v>LBS</v>
      </c>
    </row>
    <row r="26" spans="1:9" x14ac:dyDescent="0.3">
      <c r="A26" s="7" t="s">
        <v>336</v>
      </c>
      <c r="B26" s="8">
        <v>1405100013</v>
      </c>
      <c r="C26" s="7" t="str">
        <f>TRIM(SUBSTITUTE(B26,CHAR(160),""))</f>
        <v>1405100013</v>
      </c>
      <c r="D26" s="7" t="s">
        <v>337</v>
      </c>
      <c r="E26" s="7" t="s">
        <v>12</v>
      </c>
      <c r="F26" s="7" t="s">
        <v>23</v>
      </c>
      <c r="G26" s="7">
        <f>_xlfn.XLOOKUP(Table1[[#This Row],[MaterialCode]],cost[Item],cost[Unit Cost])</f>
        <v>8660.7161500000002</v>
      </c>
      <c r="H26" s="7" t="str">
        <f>_xlfn.XLOOKUP(Table1[[#This Row],[MaterialCode]],cost[Item],cost[Unit])</f>
        <v>EA</v>
      </c>
      <c r="I26" s="7">
        <f>Table1[[#This Row],[Cost]]/16000</f>
        <v>0.54129475937500005</v>
      </c>
    </row>
    <row r="27" spans="1:9" x14ac:dyDescent="0.3">
      <c r="A27" t="s">
        <v>75</v>
      </c>
      <c r="B27" s="1">
        <v>1201221018</v>
      </c>
      <c r="C27" t="str">
        <f>TRIM(SUBSTITUTE(B27,CHAR(160),""))</f>
        <v>1201221018</v>
      </c>
      <c r="D27" t="s">
        <v>76</v>
      </c>
      <c r="E27" t="s">
        <v>15</v>
      </c>
      <c r="F27" t="s">
        <v>41</v>
      </c>
      <c r="G27">
        <f>_xlfn.XLOOKUP(Table1[[#This Row],[MaterialCode]],cost[Item],cost[Unit Cost])</f>
        <v>8000</v>
      </c>
      <c r="H27" t="str">
        <f>_xlfn.XLOOKUP(Table1[[#This Row],[MaterialCode]],cost[Item],cost[Unit])</f>
        <v>KG</v>
      </c>
    </row>
    <row r="28" spans="1:9" x14ac:dyDescent="0.3">
      <c r="A28" t="s">
        <v>34</v>
      </c>
      <c r="B28" s="1">
        <v>1401600008</v>
      </c>
      <c r="C28" t="str">
        <f>TRIM(SUBSTITUTE(B28,CHAR(160),""))</f>
        <v>1401600008</v>
      </c>
      <c r="D28" t="s">
        <v>35</v>
      </c>
      <c r="E28" t="s">
        <v>36</v>
      </c>
      <c r="F28" t="s">
        <v>9</v>
      </c>
      <c r="G28">
        <f>_xlfn.XLOOKUP(Table1[[#This Row],[MaterialCode]],cost[Item],cost[Unit Cost])</f>
        <v>7622.3520339999995</v>
      </c>
      <c r="H28" t="str">
        <f>_xlfn.XLOOKUP(Table1[[#This Row],[MaterialCode]],cost[Item],cost[Unit])</f>
        <v>EA</v>
      </c>
    </row>
    <row r="29" spans="1:9" x14ac:dyDescent="0.3">
      <c r="A29" t="s">
        <v>203</v>
      </c>
      <c r="B29" s="1">
        <v>1201400010</v>
      </c>
      <c r="C29" t="str">
        <f>TRIM(SUBSTITUTE(B29,CHAR(160),""))</f>
        <v>1201400010</v>
      </c>
      <c r="D29" t="s">
        <v>204</v>
      </c>
      <c r="E29" t="s">
        <v>12</v>
      </c>
      <c r="F29" t="s">
        <v>9</v>
      </c>
      <c r="G29">
        <f>_xlfn.XLOOKUP(Table1[[#This Row],[MaterialCode]],cost[Item],cost[Unit Cost])</f>
        <v>6368.9122360000001</v>
      </c>
      <c r="H29" t="str">
        <f>_xlfn.XLOOKUP(Table1[[#This Row],[MaterialCode]],cost[Item],cost[Unit])</f>
        <v>KG</v>
      </c>
    </row>
    <row r="30" spans="1:9" x14ac:dyDescent="0.3">
      <c r="A30" t="s">
        <v>172</v>
      </c>
      <c r="B30" s="1">
        <v>1201500037</v>
      </c>
      <c r="C30" t="str">
        <f>TRIM(SUBSTITUTE(B30,CHAR(160),""))</f>
        <v>1201500037</v>
      </c>
      <c r="D30" t="s">
        <v>173</v>
      </c>
      <c r="E30" t="s">
        <v>12</v>
      </c>
      <c r="F30" t="s">
        <v>9</v>
      </c>
      <c r="G30">
        <f>_xlfn.XLOOKUP(Table1[[#This Row],[MaterialCode]],cost[Item],cost[Unit Cost])</f>
        <v>5915.0084749999996</v>
      </c>
      <c r="H30" t="str">
        <f>_xlfn.XLOOKUP(Table1[[#This Row],[MaterialCode]],cost[Item],cost[Unit])</f>
        <v>KG</v>
      </c>
    </row>
    <row r="31" spans="1:9" x14ac:dyDescent="0.3">
      <c r="A31" t="s">
        <v>217</v>
      </c>
      <c r="B31" s="1">
        <v>1405100009</v>
      </c>
      <c r="C31" t="str">
        <f>TRIM(SUBSTITUTE(B31,CHAR(160),""))</f>
        <v>1405100009</v>
      </c>
      <c r="D31" s="7" t="s">
        <v>218</v>
      </c>
      <c r="E31" s="7" t="s">
        <v>15</v>
      </c>
      <c r="F31" s="7" t="s">
        <v>30</v>
      </c>
      <c r="G31" s="7">
        <f>_xlfn.XLOOKUP(Table1[[#This Row],[MaterialCode]],cost[Item],cost[Unit Cost])</f>
        <v>5850</v>
      </c>
      <c r="H31" s="7" t="str">
        <f>_xlfn.XLOOKUP(Table1[[#This Row],[MaterialCode]],cost[Item],cost[Unit])</f>
        <v>EA</v>
      </c>
      <c r="I31" s="7"/>
    </row>
    <row r="32" spans="1:9" x14ac:dyDescent="0.3">
      <c r="A32" t="s">
        <v>61</v>
      </c>
      <c r="B32" s="1">
        <v>1201301004</v>
      </c>
      <c r="C32" t="str">
        <f>TRIM(SUBSTITUTE(B32,CHAR(160),""))</f>
        <v>1201301004</v>
      </c>
      <c r="D32" t="s">
        <v>62</v>
      </c>
      <c r="E32" t="s">
        <v>15</v>
      </c>
      <c r="F32" t="s">
        <v>41</v>
      </c>
      <c r="G32">
        <f>_xlfn.XLOOKUP(Table1[[#This Row],[MaterialCode]],cost[Item],cost[Unit Cost])</f>
        <v>5374.8108199999997</v>
      </c>
      <c r="H32" t="str">
        <f>_xlfn.XLOOKUP(Table1[[#This Row],[MaterialCode]],cost[Item],cost[Unit])</f>
        <v>KG</v>
      </c>
    </row>
    <row r="33" spans="1:9" x14ac:dyDescent="0.3">
      <c r="A33" t="s">
        <v>81</v>
      </c>
      <c r="B33" s="1">
        <v>1201221031</v>
      </c>
      <c r="C33" t="str">
        <f>TRIM(SUBSTITUTE(B33,CHAR(160),""))</f>
        <v>1201221031</v>
      </c>
      <c r="D33" t="s">
        <v>82</v>
      </c>
      <c r="E33" t="s">
        <v>15</v>
      </c>
      <c r="F33" t="s">
        <v>41</v>
      </c>
      <c r="G33">
        <f>_xlfn.XLOOKUP(Table1[[#This Row],[MaterialCode]],cost[Item],cost[Unit Cost])</f>
        <v>4800</v>
      </c>
      <c r="H33" t="str">
        <f>_xlfn.XLOOKUP(Table1[[#This Row],[MaterialCode]],cost[Item],cost[Unit])</f>
        <v>KG</v>
      </c>
    </row>
    <row r="34" spans="1:9" x14ac:dyDescent="0.3">
      <c r="A34" t="s">
        <v>77</v>
      </c>
      <c r="B34" s="1">
        <v>1201221023</v>
      </c>
      <c r="C34" t="str">
        <f>TRIM(SUBSTITUTE(B34,CHAR(160),""))</f>
        <v>1201221023</v>
      </c>
      <c r="D34" t="s">
        <v>78</v>
      </c>
      <c r="E34" t="s">
        <v>15</v>
      </c>
      <c r="F34" t="s">
        <v>41</v>
      </c>
      <c r="G34">
        <f>_xlfn.XLOOKUP(Table1[[#This Row],[MaterialCode]],cost[Item],cost[Unit Cost])</f>
        <v>4640</v>
      </c>
      <c r="H34" t="str">
        <f>_xlfn.XLOOKUP(Table1[[#This Row],[MaterialCode]],cost[Item],cost[Unit])</f>
        <v>KG</v>
      </c>
    </row>
    <row r="35" spans="1:9" x14ac:dyDescent="0.3">
      <c r="A35" t="s">
        <v>201</v>
      </c>
      <c r="B35" s="1">
        <v>1201400006</v>
      </c>
      <c r="C35" t="str">
        <f>TRIM(SUBSTITUTE(B35,CHAR(160),""))</f>
        <v>1201400006</v>
      </c>
      <c r="D35" s="7" t="s">
        <v>202</v>
      </c>
      <c r="E35" s="7" t="s">
        <v>12</v>
      </c>
      <c r="F35" s="7" t="s">
        <v>21</v>
      </c>
      <c r="G35" s="7">
        <f>_xlfn.XLOOKUP(Table1[[#This Row],[MaterialCode]],cost[Item],cost[Unit Cost])</f>
        <v>4336</v>
      </c>
      <c r="H35" s="7" t="str">
        <f>_xlfn.XLOOKUP(Table1[[#This Row],[MaterialCode]],cost[Item],cost[Unit])</f>
        <v>EA</v>
      </c>
      <c r="I35" s="7"/>
    </row>
    <row r="36" spans="1:9" x14ac:dyDescent="0.3">
      <c r="A36" t="s">
        <v>71</v>
      </c>
      <c r="B36" s="1">
        <v>1201221028</v>
      </c>
      <c r="C36" t="str">
        <f>TRIM(SUBSTITUTE(B36,CHAR(160),""))</f>
        <v>1201221028</v>
      </c>
      <c r="D36" t="s">
        <v>72</v>
      </c>
      <c r="E36" t="s">
        <v>15</v>
      </c>
      <c r="F36" t="s">
        <v>41</v>
      </c>
      <c r="G36">
        <f>_xlfn.XLOOKUP(Table1[[#This Row],[MaterialCode]],cost[Item],cost[Unit Cost])</f>
        <v>4256</v>
      </c>
      <c r="H36" t="str">
        <f>_xlfn.XLOOKUP(Table1[[#This Row],[MaterialCode]],cost[Item],cost[Unit])</f>
        <v>KG</v>
      </c>
    </row>
    <row r="37" spans="1:9" x14ac:dyDescent="0.3">
      <c r="A37" t="s">
        <v>422</v>
      </c>
      <c r="B37" s="1">
        <v>1201560005</v>
      </c>
      <c r="C37" t="str">
        <f>TRIM(SUBSTITUTE(B37,CHAR(160),""))</f>
        <v>1201560005</v>
      </c>
      <c r="D37" t="s">
        <v>423</v>
      </c>
      <c r="E37" t="s">
        <v>15</v>
      </c>
      <c r="F37" t="s">
        <v>18</v>
      </c>
      <c r="G37">
        <f>_xlfn.XLOOKUP(Table1[[#This Row],[MaterialCode]],cost[Item],cost[Unit Cost])</f>
        <v>4032.36</v>
      </c>
      <c r="H37" t="str">
        <f>_xlfn.XLOOKUP(Table1[[#This Row],[MaterialCode]],cost[Item],cost[Unit])</f>
        <v>KG</v>
      </c>
    </row>
    <row r="38" spans="1:9" x14ac:dyDescent="0.3">
      <c r="A38" t="s">
        <v>424</v>
      </c>
      <c r="B38" s="1">
        <v>1201560003</v>
      </c>
      <c r="C38" t="str">
        <f>TRIM(SUBSTITUTE(B38,CHAR(160),""))</f>
        <v>1201560003</v>
      </c>
      <c r="D38" t="s">
        <v>425</v>
      </c>
      <c r="E38" t="s">
        <v>15</v>
      </c>
      <c r="F38" t="s">
        <v>9</v>
      </c>
      <c r="G38">
        <f>_xlfn.XLOOKUP(Table1[[#This Row],[MaterialCode]],cost[Item],cost[Unit Cost])</f>
        <v>4032.36</v>
      </c>
      <c r="H38" t="str">
        <f>_xlfn.XLOOKUP(Table1[[#This Row],[MaterialCode]],cost[Item],cost[Unit])</f>
        <v>KG</v>
      </c>
    </row>
    <row r="39" spans="1:9" x14ac:dyDescent="0.3">
      <c r="A39" t="s">
        <v>83</v>
      </c>
      <c r="B39" s="1">
        <v>1201221030</v>
      </c>
      <c r="C39" t="str">
        <f>TRIM(SUBSTITUTE(B39,CHAR(160),""))</f>
        <v>1201221030</v>
      </c>
      <c r="D39" t="s">
        <v>84</v>
      </c>
      <c r="E39" t="s">
        <v>15</v>
      </c>
      <c r="F39" t="s">
        <v>41</v>
      </c>
      <c r="G39">
        <f>_xlfn.XLOOKUP(Table1[[#This Row],[MaterialCode]],cost[Item],cost[Unit Cost])</f>
        <v>3200</v>
      </c>
      <c r="H39" t="str">
        <f>_xlfn.XLOOKUP(Table1[[#This Row],[MaterialCode]],cost[Item],cost[Unit])</f>
        <v>KG</v>
      </c>
    </row>
    <row r="40" spans="1:9" x14ac:dyDescent="0.3">
      <c r="A40" t="s">
        <v>311</v>
      </c>
      <c r="B40" s="1">
        <v>1201301009</v>
      </c>
      <c r="C40" t="str">
        <f>TRIM(SUBSTITUTE(B40,CHAR(160),""))</f>
        <v>1201301009</v>
      </c>
      <c r="D40" t="s">
        <v>312</v>
      </c>
      <c r="E40" t="s">
        <v>15</v>
      </c>
      <c r="F40" t="s">
        <v>41</v>
      </c>
      <c r="G40">
        <f>_xlfn.XLOOKUP(Table1[[#This Row],[MaterialCode]],cost[Item],cost[Unit Cost])</f>
        <v>3156.8424740800001</v>
      </c>
      <c r="H40" t="str">
        <f>_xlfn.XLOOKUP(Table1[[#This Row],[MaterialCode]],cost[Item],cost[Unit])</f>
        <v>KG</v>
      </c>
    </row>
    <row r="41" spans="1:9" x14ac:dyDescent="0.3">
      <c r="A41" t="s">
        <v>85</v>
      </c>
      <c r="B41" s="1">
        <v>1201221002</v>
      </c>
      <c r="C41" t="str">
        <f>TRIM(SUBSTITUTE(B41,CHAR(160),""))</f>
        <v>1201221002</v>
      </c>
      <c r="D41" s="7" t="s">
        <v>86</v>
      </c>
      <c r="E41" s="7" t="s">
        <v>26</v>
      </c>
      <c r="F41" s="7" t="s">
        <v>41</v>
      </c>
      <c r="G41" s="7">
        <f>_xlfn.XLOOKUP(Table1[[#This Row],[MaterialCode]],cost[Item],cost[Unit Cost])</f>
        <v>2528</v>
      </c>
      <c r="H41" s="7" t="str">
        <f>_xlfn.XLOOKUP(Table1[[#This Row],[MaterialCode]],cost[Item],cost[Unit])</f>
        <v>KG</v>
      </c>
      <c r="I41" s="7"/>
    </row>
    <row r="42" spans="1:9" x14ac:dyDescent="0.3">
      <c r="A42" t="s">
        <v>146</v>
      </c>
      <c r="B42" s="1">
        <v>1401990099</v>
      </c>
      <c r="C42" t="str">
        <f>TRIM(SUBSTITUTE(B42,CHAR(160),""))</f>
        <v>1401990099</v>
      </c>
      <c r="D42" t="s">
        <v>147</v>
      </c>
      <c r="E42" t="s">
        <v>8</v>
      </c>
      <c r="F42" t="s">
        <v>21</v>
      </c>
      <c r="G42">
        <f>_xlfn.XLOOKUP(Table1[[#This Row],[MaterialCode]],cost[Item],cost[Unit Cost])</f>
        <v>2480</v>
      </c>
      <c r="H42" t="str">
        <f>_xlfn.XLOOKUP(Table1[[#This Row],[MaterialCode]],cost[Item],cost[Unit])</f>
        <v>EA</v>
      </c>
    </row>
    <row r="43" spans="1:9" x14ac:dyDescent="0.3">
      <c r="A43" t="s">
        <v>148</v>
      </c>
      <c r="B43" s="1">
        <v>1401990099</v>
      </c>
      <c r="C43" t="str">
        <f>TRIM(SUBSTITUTE(B43,CHAR(160),""))</f>
        <v>1401990099</v>
      </c>
      <c r="D43" t="s">
        <v>147</v>
      </c>
      <c r="E43" t="s">
        <v>8</v>
      </c>
      <c r="F43" t="s">
        <v>23</v>
      </c>
      <c r="G43">
        <f>_xlfn.XLOOKUP(Table1[[#This Row],[MaterialCode]],cost[Item],cost[Unit Cost])</f>
        <v>2480</v>
      </c>
      <c r="H43" t="str">
        <f>_xlfn.XLOOKUP(Table1[[#This Row],[MaterialCode]],cost[Item],cost[Unit])</f>
        <v>EA</v>
      </c>
    </row>
    <row r="44" spans="1:9" x14ac:dyDescent="0.3">
      <c r="A44" t="s">
        <v>320</v>
      </c>
      <c r="B44" s="1">
        <v>1201500040</v>
      </c>
      <c r="C44" t="str">
        <f>TRIM(SUBSTITUTE(B44,CHAR(160),""))</f>
        <v>1201500040</v>
      </c>
      <c r="D44" t="s">
        <v>321</v>
      </c>
      <c r="E44" t="s">
        <v>15</v>
      </c>
      <c r="F44" t="s">
        <v>18</v>
      </c>
      <c r="G44">
        <f>_xlfn.XLOOKUP(Table1[[#This Row],[MaterialCode]],cost[Item],cost[Unit Cost])</f>
        <v>2290.3411076000002</v>
      </c>
      <c r="H44" t="str">
        <f>_xlfn.XLOOKUP(Table1[[#This Row],[MaterialCode]],cost[Item],cost[Unit])</f>
        <v>KG</v>
      </c>
    </row>
    <row r="45" spans="1:9" x14ac:dyDescent="0.3">
      <c r="A45" t="s">
        <v>73</v>
      </c>
      <c r="B45" s="1">
        <v>1201221019</v>
      </c>
      <c r="C45" t="str">
        <f>TRIM(SUBSTITUTE(B45,CHAR(160),""))</f>
        <v>1201221019</v>
      </c>
      <c r="D45" t="s">
        <v>74</v>
      </c>
      <c r="E45" t="s">
        <v>15</v>
      </c>
      <c r="F45" t="s">
        <v>41</v>
      </c>
      <c r="G45">
        <f>_xlfn.XLOOKUP(Table1[[#This Row],[MaterialCode]],cost[Item],cost[Unit Cost])</f>
        <v>2240</v>
      </c>
      <c r="H45" t="str">
        <f>_xlfn.XLOOKUP(Table1[[#This Row],[MaterialCode]],cost[Item],cost[Unit])</f>
        <v>KG</v>
      </c>
    </row>
    <row r="46" spans="1:9" x14ac:dyDescent="0.3">
      <c r="A46" t="s">
        <v>59</v>
      </c>
      <c r="B46" s="1">
        <v>1201301006</v>
      </c>
      <c r="C46" t="str">
        <f>TRIM(SUBSTITUTE(B46,CHAR(160),""))</f>
        <v>1201301006</v>
      </c>
      <c r="D46" t="s">
        <v>60</v>
      </c>
      <c r="E46" t="s">
        <v>26</v>
      </c>
      <c r="F46" t="s">
        <v>41</v>
      </c>
      <c r="G46">
        <f>_xlfn.XLOOKUP(Table1[[#This Row],[MaterialCode]],cost[Item],cost[Unit Cost])</f>
        <v>1891.8879999999999</v>
      </c>
      <c r="H46" t="str">
        <f>_xlfn.XLOOKUP(Table1[[#This Row],[MaterialCode]],cost[Item],cost[Unit])</f>
        <v>KG</v>
      </c>
    </row>
    <row r="47" spans="1:9" x14ac:dyDescent="0.3">
      <c r="A47" t="s">
        <v>79</v>
      </c>
      <c r="B47" s="1">
        <v>1201221020</v>
      </c>
      <c r="C47" t="str">
        <f>TRIM(SUBSTITUTE(B47,CHAR(160),""))</f>
        <v>1201221020</v>
      </c>
      <c r="D47" t="s">
        <v>80</v>
      </c>
      <c r="E47" t="s">
        <v>15</v>
      </c>
      <c r="F47" t="s">
        <v>41</v>
      </c>
      <c r="G47">
        <f>_xlfn.XLOOKUP(Table1[[#This Row],[MaterialCode]],cost[Item],cost[Unit Cost])</f>
        <v>1888</v>
      </c>
      <c r="H47" t="str">
        <f>_xlfn.XLOOKUP(Table1[[#This Row],[MaterialCode]],cost[Item],cost[Unit])</f>
        <v>KG</v>
      </c>
    </row>
    <row r="48" spans="1:9" x14ac:dyDescent="0.3">
      <c r="A48" t="s">
        <v>51</v>
      </c>
      <c r="B48" s="1">
        <v>1201301005</v>
      </c>
      <c r="C48" t="str">
        <f>TRIM(SUBSTITUTE(B48,CHAR(160),""))</f>
        <v>1201301005</v>
      </c>
      <c r="D48" t="s">
        <v>52</v>
      </c>
      <c r="E48" t="s">
        <v>26</v>
      </c>
      <c r="F48" t="s">
        <v>41</v>
      </c>
      <c r="G48">
        <f>_xlfn.XLOOKUP(Table1[[#This Row],[MaterialCode]],cost[Item],cost[Unit Cost])</f>
        <v>1850</v>
      </c>
      <c r="H48" t="str">
        <f>_xlfn.XLOOKUP(Table1[[#This Row],[MaterialCode]],cost[Item],cost[Unit])</f>
        <v>LTR</v>
      </c>
    </row>
    <row r="49" spans="1:9" x14ac:dyDescent="0.3">
      <c r="A49" t="s">
        <v>144</v>
      </c>
      <c r="B49" s="1">
        <v>1401990101</v>
      </c>
      <c r="C49" t="str">
        <f>TRIM(SUBSTITUTE(B49,CHAR(160),""))</f>
        <v>1401990101</v>
      </c>
      <c r="D49" t="s">
        <v>145</v>
      </c>
      <c r="E49" t="s">
        <v>8</v>
      </c>
      <c r="F49" t="s">
        <v>9</v>
      </c>
      <c r="G49">
        <f>_xlfn.XLOOKUP(Table1[[#This Row],[MaterialCode]],cost[Item],cost[Unit Cost])</f>
        <v>1756.2008823000001</v>
      </c>
      <c r="H49" t="str">
        <f>_xlfn.XLOOKUP(Table1[[#This Row],[MaterialCode]],cost[Item],cost[Unit])</f>
        <v>EA</v>
      </c>
    </row>
    <row r="50" spans="1:9" x14ac:dyDescent="0.3">
      <c r="A50" t="s">
        <v>149</v>
      </c>
      <c r="B50" s="1">
        <v>1401990102</v>
      </c>
      <c r="C50" t="str">
        <f>TRIM(SUBSTITUTE(B50,CHAR(160),""))</f>
        <v>1401990102</v>
      </c>
      <c r="D50" t="s">
        <v>150</v>
      </c>
      <c r="E50" t="s">
        <v>8</v>
      </c>
      <c r="F50" t="s">
        <v>21</v>
      </c>
      <c r="G50">
        <f>_xlfn.XLOOKUP(Table1[[#This Row],[MaterialCode]],cost[Item],cost[Unit Cost])</f>
        <v>1450</v>
      </c>
      <c r="H50" t="str">
        <f>_xlfn.XLOOKUP(Table1[[#This Row],[MaterialCode]],cost[Item],cost[Unit])</f>
        <v>EA</v>
      </c>
    </row>
    <row r="51" spans="1:9" x14ac:dyDescent="0.3">
      <c r="A51" t="s">
        <v>151</v>
      </c>
      <c r="B51" s="1">
        <v>1401990102</v>
      </c>
      <c r="C51" t="str">
        <f>TRIM(SUBSTITUTE(B51,CHAR(160),""))</f>
        <v>1401990102</v>
      </c>
      <c r="D51" t="s">
        <v>150</v>
      </c>
      <c r="E51" t="s">
        <v>8</v>
      </c>
      <c r="F51" t="s">
        <v>23</v>
      </c>
      <c r="G51">
        <f>_xlfn.XLOOKUP(Table1[[#This Row],[MaterialCode]],cost[Item],cost[Unit Cost])</f>
        <v>1450</v>
      </c>
      <c r="H51" t="str">
        <f>_xlfn.XLOOKUP(Table1[[#This Row],[MaterialCode]],cost[Item],cost[Unit])</f>
        <v>EA</v>
      </c>
    </row>
    <row r="52" spans="1:9" x14ac:dyDescent="0.3">
      <c r="A52" t="s">
        <v>152</v>
      </c>
      <c r="B52" s="1">
        <v>1401990103</v>
      </c>
      <c r="C52" t="str">
        <f>TRIM(SUBSTITUTE(B52,CHAR(160),""))</f>
        <v>1401990103</v>
      </c>
      <c r="D52" t="s">
        <v>153</v>
      </c>
      <c r="E52" t="s">
        <v>8</v>
      </c>
      <c r="F52" t="s">
        <v>21</v>
      </c>
      <c r="G52">
        <f>_xlfn.XLOOKUP(Table1[[#This Row],[MaterialCode]],cost[Item],cost[Unit Cost])</f>
        <v>1450</v>
      </c>
      <c r="H52" t="str">
        <f>_xlfn.XLOOKUP(Table1[[#This Row],[MaterialCode]],cost[Item],cost[Unit])</f>
        <v>EA</v>
      </c>
    </row>
    <row r="53" spans="1:9" x14ac:dyDescent="0.3">
      <c r="A53" t="s">
        <v>154</v>
      </c>
      <c r="B53" s="1">
        <v>1401990103</v>
      </c>
      <c r="C53" t="str">
        <f>TRIM(SUBSTITUTE(B53,CHAR(160),""))</f>
        <v>1401990103</v>
      </c>
      <c r="D53" t="s">
        <v>153</v>
      </c>
      <c r="E53" t="s">
        <v>8</v>
      </c>
      <c r="F53" t="s">
        <v>23</v>
      </c>
      <c r="G53">
        <f>_xlfn.XLOOKUP(Table1[[#This Row],[MaterialCode]],cost[Item],cost[Unit Cost])</f>
        <v>1450</v>
      </c>
      <c r="H53" t="str">
        <f>_xlfn.XLOOKUP(Table1[[#This Row],[MaterialCode]],cost[Item],cost[Unit])</f>
        <v>EA</v>
      </c>
    </row>
    <row r="54" spans="1:9" x14ac:dyDescent="0.3">
      <c r="A54" t="s">
        <v>53</v>
      </c>
      <c r="B54" s="1">
        <v>1201400001</v>
      </c>
      <c r="C54" t="str">
        <f>TRIM(SUBSTITUTE(B54,CHAR(160),""))</f>
        <v>1201400001</v>
      </c>
      <c r="D54" t="s">
        <v>54</v>
      </c>
      <c r="E54" t="s">
        <v>12</v>
      </c>
      <c r="F54" t="s">
        <v>18</v>
      </c>
      <c r="G54">
        <f>_xlfn.XLOOKUP(Table1[[#This Row],[MaterialCode]],cost[Item],cost[Unit Cost])</f>
        <v>1327.0283677299999</v>
      </c>
      <c r="H54" t="str">
        <f>_xlfn.XLOOKUP(Table1[[#This Row],[MaterialCode]],cost[Item],cost[Unit])</f>
        <v>KG</v>
      </c>
    </row>
    <row r="55" spans="1:9" x14ac:dyDescent="0.3">
      <c r="A55" t="s">
        <v>49</v>
      </c>
      <c r="B55" s="1">
        <v>1201300004</v>
      </c>
      <c r="C55" t="str">
        <f>TRIM(SUBSTITUTE(B55,CHAR(160),""))</f>
        <v>1201300004</v>
      </c>
      <c r="D55" t="s">
        <v>50</v>
      </c>
      <c r="E55" t="s">
        <v>26</v>
      </c>
      <c r="F55" t="s">
        <v>41</v>
      </c>
      <c r="G55">
        <f>_xlfn.XLOOKUP(Table1[[#This Row],[MaterialCode]],cost[Item],cost[Unit Cost])</f>
        <v>1255.6029414300001</v>
      </c>
      <c r="H55" t="str">
        <f>_xlfn.XLOOKUP(Table1[[#This Row],[MaterialCode]],cost[Item],cost[Unit])</f>
        <v>LTR</v>
      </c>
    </row>
    <row r="56" spans="1:9" x14ac:dyDescent="0.3">
      <c r="A56" t="s">
        <v>136</v>
      </c>
      <c r="B56" s="1">
        <v>1201500039</v>
      </c>
      <c r="C56" t="str">
        <f>TRIM(SUBSTITUTE(B56,CHAR(160),""))</f>
        <v>1201500039</v>
      </c>
      <c r="D56" t="s">
        <v>137</v>
      </c>
      <c r="E56" t="s">
        <v>15</v>
      </c>
      <c r="F56" t="s">
        <v>21</v>
      </c>
      <c r="G56">
        <f>_xlfn.XLOOKUP(Table1[[#This Row],[MaterialCode]],cost[Item],cost[Unit Cost])</f>
        <v>1198</v>
      </c>
      <c r="H56" t="str">
        <f>_xlfn.XLOOKUP(Table1[[#This Row],[MaterialCode]],cost[Item],cost[Unit])</f>
        <v>KG</v>
      </c>
    </row>
    <row r="57" spans="1:9" x14ac:dyDescent="0.3">
      <c r="A57" t="s">
        <v>138</v>
      </c>
      <c r="B57" s="1">
        <v>1201500039</v>
      </c>
      <c r="C57" t="str">
        <f>TRIM(SUBSTITUTE(B57,CHAR(160),""))</f>
        <v>1201500039</v>
      </c>
      <c r="D57" t="s">
        <v>137</v>
      </c>
      <c r="E57" t="s">
        <v>15</v>
      </c>
      <c r="F57" t="s">
        <v>18</v>
      </c>
      <c r="G57">
        <f>_xlfn.XLOOKUP(Table1[[#This Row],[MaterialCode]],cost[Item],cost[Unit Cost])</f>
        <v>1198</v>
      </c>
      <c r="H57" t="str">
        <f>_xlfn.XLOOKUP(Table1[[#This Row],[MaterialCode]],cost[Item],cost[Unit])</f>
        <v>KG</v>
      </c>
    </row>
    <row r="58" spans="1:9" x14ac:dyDescent="0.3">
      <c r="A58" t="s">
        <v>343</v>
      </c>
      <c r="B58" s="1">
        <v>1205101006</v>
      </c>
      <c r="C58" t="str">
        <f>TRIM(SUBSTITUTE(B58,CHAR(160),""))</f>
        <v>1205101006</v>
      </c>
      <c r="D58" t="s">
        <v>344</v>
      </c>
      <c r="E58" t="s">
        <v>15</v>
      </c>
      <c r="F58" t="s">
        <v>33</v>
      </c>
      <c r="G58">
        <f>_xlfn.XLOOKUP(Table1[[#This Row],[MaterialCode]],cost[Item],cost[Unit Cost])</f>
        <v>999.23166000000003</v>
      </c>
      <c r="H58" t="str">
        <f>_xlfn.XLOOKUP(Table1[[#This Row],[MaterialCode]],cost[Item],cost[Unit])</f>
        <v>KG</v>
      </c>
    </row>
    <row r="59" spans="1:9" x14ac:dyDescent="0.3">
      <c r="A59" t="s">
        <v>100</v>
      </c>
      <c r="B59" s="1">
        <v>1201500036</v>
      </c>
      <c r="C59" t="str">
        <f>TRIM(SUBSTITUTE(B59,CHAR(160),""))</f>
        <v>1201500036</v>
      </c>
      <c r="D59" t="s">
        <v>101</v>
      </c>
      <c r="E59" t="s">
        <v>15</v>
      </c>
      <c r="F59" t="s">
        <v>16</v>
      </c>
      <c r="G59">
        <f>_xlfn.XLOOKUP(Table1[[#This Row],[MaterialCode]],cost[Item],cost[Unit Cost])</f>
        <v>950</v>
      </c>
      <c r="H59" t="str">
        <f>_xlfn.XLOOKUP(Table1[[#This Row],[MaterialCode]],cost[Item],cost[Unit])</f>
        <v>KG</v>
      </c>
    </row>
    <row r="60" spans="1:9" x14ac:dyDescent="0.3">
      <c r="A60" t="s">
        <v>102</v>
      </c>
      <c r="B60" s="1">
        <v>1201500036</v>
      </c>
      <c r="C60" t="str">
        <f>TRIM(SUBSTITUTE(B60,CHAR(160),""))</f>
        <v>1201500036</v>
      </c>
      <c r="D60" t="s">
        <v>101</v>
      </c>
      <c r="E60" t="s">
        <v>15</v>
      </c>
      <c r="F60" t="s">
        <v>18</v>
      </c>
      <c r="G60">
        <f>_xlfn.XLOOKUP(Table1[[#This Row],[MaterialCode]],cost[Item],cost[Unit Cost])</f>
        <v>950</v>
      </c>
      <c r="H60" t="str">
        <f>_xlfn.XLOOKUP(Table1[[#This Row],[MaterialCode]],cost[Item],cost[Unit])</f>
        <v>KG</v>
      </c>
    </row>
    <row r="61" spans="1:9" x14ac:dyDescent="0.3">
      <c r="A61" t="s">
        <v>106</v>
      </c>
      <c r="B61" s="1">
        <v>1201500033</v>
      </c>
      <c r="C61" t="str">
        <f>TRIM(SUBSTITUTE(B61,CHAR(160),""))</f>
        <v>1201500033</v>
      </c>
      <c r="D61" t="s">
        <v>107</v>
      </c>
      <c r="E61" t="s">
        <v>15</v>
      </c>
      <c r="F61" t="s">
        <v>21</v>
      </c>
      <c r="G61">
        <f>_xlfn.XLOOKUP(Table1[[#This Row],[MaterialCode]],cost[Item],cost[Unit Cost])</f>
        <v>927.49345100000005</v>
      </c>
      <c r="H61" t="str">
        <f>_xlfn.XLOOKUP(Table1[[#This Row],[MaterialCode]],cost[Item],cost[Unit])</f>
        <v>KG</v>
      </c>
    </row>
    <row r="62" spans="1:9" x14ac:dyDescent="0.3">
      <c r="A62" t="s">
        <v>315</v>
      </c>
      <c r="B62" s="1">
        <v>1201500008</v>
      </c>
      <c r="C62" t="str">
        <f>TRIM(SUBSTITUTE(B62,CHAR(160),""))</f>
        <v>1201500008</v>
      </c>
      <c r="D62" t="s">
        <v>316</v>
      </c>
      <c r="E62" t="s">
        <v>15</v>
      </c>
      <c r="F62" t="s">
        <v>16</v>
      </c>
      <c r="G62">
        <f>_xlfn.XLOOKUP(Table1[[#This Row],[MaterialCode]],cost[Item],cost[Unit Cost])</f>
        <v>893.45</v>
      </c>
      <c r="H62" t="str">
        <f>_xlfn.XLOOKUP(Table1[[#This Row],[MaterialCode]],cost[Item],cost[Unit])</f>
        <v>KG</v>
      </c>
    </row>
    <row r="63" spans="1:9" x14ac:dyDescent="0.3">
      <c r="A63" t="s">
        <v>317</v>
      </c>
      <c r="B63" s="1">
        <v>1201500008</v>
      </c>
      <c r="C63" t="str">
        <f>TRIM(SUBSTITUTE(B63,CHAR(160),""))</f>
        <v>1201500008</v>
      </c>
      <c r="D63" t="s">
        <v>316</v>
      </c>
      <c r="E63" t="s">
        <v>15</v>
      </c>
      <c r="F63" t="s">
        <v>18</v>
      </c>
      <c r="G63">
        <f>_xlfn.XLOOKUP(Table1[[#This Row],[MaterialCode]],cost[Item],cost[Unit Cost])</f>
        <v>893.45</v>
      </c>
      <c r="H63" t="str">
        <f>_xlfn.XLOOKUP(Table1[[#This Row],[MaterialCode]],cost[Item],cost[Unit])</f>
        <v>KG</v>
      </c>
    </row>
    <row r="64" spans="1:9" x14ac:dyDescent="0.3">
      <c r="A64" t="s">
        <v>234</v>
      </c>
      <c r="B64" s="1">
        <v>1201220010</v>
      </c>
      <c r="C64" t="str">
        <f>TRIM(SUBSTITUTE(B64,CHAR(160),""))</f>
        <v>1201220010</v>
      </c>
      <c r="D64" s="7" t="s">
        <v>235</v>
      </c>
      <c r="E64" s="7" t="s">
        <v>26</v>
      </c>
      <c r="F64" s="7" t="s">
        <v>41</v>
      </c>
      <c r="G64" s="7">
        <f>_xlfn.XLOOKUP(Table1[[#This Row],[MaterialCode]],cost[Item],cost[Unit Cost])</f>
        <v>893.06156753799996</v>
      </c>
      <c r="H64" s="7" t="str">
        <f>_xlfn.XLOOKUP(Table1[[#This Row],[MaterialCode]],cost[Item],cost[Unit])</f>
        <v>KG</v>
      </c>
      <c r="I64" s="7"/>
    </row>
    <row r="65" spans="1:9" x14ac:dyDescent="0.3">
      <c r="A65" t="s">
        <v>67</v>
      </c>
      <c r="B65" s="1">
        <v>1201221004</v>
      </c>
      <c r="C65" t="str">
        <f>TRIM(SUBSTITUTE(B65,CHAR(160),""))</f>
        <v>1201221004</v>
      </c>
      <c r="D65" t="s">
        <v>68</v>
      </c>
      <c r="E65" t="s">
        <v>15</v>
      </c>
      <c r="F65" t="s">
        <v>41</v>
      </c>
      <c r="G65">
        <f>_xlfn.XLOOKUP(Table1[[#This Row],[MaterialCode]],cost[Item],cost[Unit Cost])</f>
        <v>888.12425929999995</v>
      </c>
      <c r="H65" t="str">
        <f>_xlfn.XLOOKUP(Table1[[#This Row],[MaterialCode]],cost[Item],cost[Unit])</f>
        <v>KG</v>
      </c>
    </row>
    <row r="66" spans="1:9" x14ac:dyDescent="0.3">
      <c r="A66" t="s">
        <v>254</v>
      </c>
      <c r="B66" s="1">
        <v>1201221026</v>
      </c>
      <c r="C66" t="str">
        <f>TRIM(SUBSTITUTE(B66,CHAR(160),""))</f>
        <v>1201221026</v>
      </c>
      <c r="D66" t="s">
        <v>255</v>
      </c>
      <c r="E66" t="s">
        <v>15</v>
      </c>
      <c r="F66" t="s">
        <v>41</v>
      </c>
      <c r="G66">
        <f>_xlfn.XLOOKUP(Table1[[#This Row],[MaterialCode]],cost[Item],cost[Unit Cost])</f>
        <v>846.06480350000004</v>
      </c>
      <c r="H66" t="str">
        <f>_xlfn.XLOOKUP(Table1[[#This Row],[MaterialCode]],cost[Item],cost[Unit])</f>
        <v>KG</v>
      </c>
    </row>
    <row r="67" spans="1:9" x14ac:dyDescent="0.3">
      <c r="A67" t="s">
        <v>207</v>
      </c>
      <c r="B67" s="1">
        <v>1201201002</v>
      </c>
      <c r="C67" t="str">
        <f>TRIM(SUBSTITUTE(B67,CHAR(160),""))</f>
        <v>1201201002</v>
      </c>
      <c r="D67" s="7" t="s">
        <v>208</v>
      </c>
      <c r="E67" s="7" t="s">
        <v>26</v>
      </c>
      <c r="F67" s="7" t="s">
        <v>27</v>
      </c>
      <c r="G67" s="7">
        <f>_xlfn.XLOOKUP(Table1[[#This Row],[MaterialCode]],cost[Item],cost[Unit Cost])</f>
        <v>700</v>
      </c>
      <c r="H67" s="7" t="str">
        <f>_xlfn.XLOOKUP(Table1[[#This Row],[MaterialCode]],cost[Item],cost[Unit])</f>
        <v>KG</v>
      </c>
      <c r="I67" s="7"/>
    </row>
    <row r="68" spans="1:9" x14ac:dyDescent="0.3">
      <c r="A68" t="s">
        <v>28</v>
      </c>
      <c r="B68" s="1">
        <v>1208100001</v>
      </c>
      <c r="C68" t="str">
        <f>TRIM(SUBSTITUTE(B68,CHAR(160),""))</f>
        <v>1208100001</v>
      </c>
      <c r="D68" s="7" t="s">
        <v>29</v>
      </c>
      <c r="E68" s="7" t="s">
        <v>26</v>
      </c>
      <c r="F68" s="7" t="s">
        <v>30</v>
      </c>
      <c r="G68" s="7">
        <f>_xlfn.XLOOKUP(Table1[[#This Row],[MaterialCode]],cost[Item],cost[Unit Cost])</f>
        <v>652</v>
      </c>
      <c r="H68" s="7" t="str">
        <f>_xlfn.XLOOKUP(Table1[[#This Row],[MaterialCode]],cost[Item],cost[Unit])</f>
        <v>KG</v>
      </c>
      <c r="I68" s="7"/>
    </row>
    <row r="69" spans="1:9" x14ac:dyDescent="0.3">
      <c r="A69" t="s">
        <v>213</v>
      </c>
      <c r="B69" s="1">
        <v>1201500041</v>
      </c>
      <c r="C69" t="str">
        <f>TRIM(SUBSTITUTE(B69,CHAR(160),""))</f>
        <v>1201500041</v>
      </c>
      <c r="D69" t="s">
        <v>214</v>
      </c>
      <c r="E69" t="s">
        <v>26</v>
      </c>
      <c r="F69" t="s">
        <v>18</v>
      </c>
      <c r="G69">
        <f>_xlfn.XLOOKUP(Table1[[#This Row],[MaterialCode]],cost[Item],cost[Unit Cost])</f>
        <v>600</v>
      </c>
      <c r="H69" t="str">
        <f>_xlfn.XLOOKUP(Table1[[#This Row],[MaterialCode]],cost[Item],cost[Unit])</f>
        <v>LTR</v>
      </c>
    </row>
    <row r="70" spans="1:9" x14ac:dyDescent="0.3">
      <c r="A70" t="s">
        <v>57</v>
      </c>
      <c r="B70" s="1">
        <v>1201221021</v>
      </c>
      <c r="C70" t="str">
        <f>TRIM(SUBSTITUTE(B70,CHAR(160),""))</f>
        <v>1201221021</v>
      </c>
      <c r="D70" t="s">
        <v>58</v>
      </c>
      <c r="E70" t="s">
        <v>15</v>
      </c>
      <c r="F70" t="s">
        <v>41</v>
      </c>
      <c r="G70">
        <f>_xlfn.XLOOKUP(Table1[[#This Row],[MaterialCode]],cost[Item],cost[Unit Cost])</f>
        <v>544</v>
      </c>
      <c r="H70" t="str">
        <f>_xlfn.XLOOKUP(Table1[[#This Row],[MaterialCode]],cost[Item],cost[Unit])</f>
        <v>KG</v>
      </c>
    </row>
    <row r="71" spans="1:9" x14ac:dyDescent="0.3">
      <c r="A71" t="s">
        <v>103</v>
      </c>
      <c r="B71" s="1">
        <v>1201500002</v>
      </c>
      <c r="C71" t="str">
        <f>TRIM(SUBSTITUTE(B71,CHAR(160),""))</f>
        <v>1201500002</v>
      </c>
      <c r="D71" t="s">
        <v>104</v>
      </c>
      <c r="E71" t="s">
        <v>15</v>
      </c>
      <c r="F71" t="s">
        <v>16</v>
      </c>
      <c r="G71">
        <f>_xlfn.XLOOKUP(Table1[[#This Row],[MaterialCode]],cost[Item],cost[Unit Cost])</f>
        <v>540.51691534999998</v>
      </c>
      <c r="H71" t="str">
        <f>_xlfn.XLOOKUP(Table1[[#This Row],[MaterialCode]],cost[Item],cost[Unit])</f>
        <v>KG</v>
      </c>
    </row>
    <row r="72" spans="1:9" x14ac:dyDescent="0.3">
      <c r="A72" t="s">
        <v>105</v>
      </c>
      <c r="B72" s="1">
        <v>1201500002</v>
      </c>
      <c r="C72" t="str">
        <f>TRIM(SUBSTITUTE(B72,CHAR(160),""))</f>
        <v>1201500002</v>
      </c>
      <c r="D72" t="s">
        <v>104</v>
      </c>
      <c r="E72" t="s">
        <v>15</v>
      </c>
      <c r="F72" t="s">
        <v>18</v>
      </c>
      <c r="G72">
        <f>_xlfn.XLOOKUP(Table1[[#This Row],[MaterialCode]],cost[Item],cost[Unit Cost])</f>
        <v>540.51691534999998</v>
      </c>
      <c r="H72" t="str">
        <f>_xlfn.XLOOKUP(Table1[[#This Row],[MaterialCode]],cost[Item],cost[Unit])</f>
        <v>KG</v>
      </c>
    </row>
    <row r="73" spans="1:9" x14ac:dyDescent="0.3">
      <c r="A73" t="s">
        <v>98</v>
      </c>
      <c r="B73" s="1">
        <v>1201500022</v>
      </c>
      <c r="C73" t="str">
        <f>TRIM(SUBSTITUTE(B73,CHAR(160),""))</f>
        <v>1201500022</v>
      </c>
      <c r="D73" t="s">
        <v>99</v>
      </c>
      <c r="E73" t="s">
        <v>15</v>
      </c>
      <c r="F73" t="s">
        <v>21</v>
      </c>
      <c r="G73">
        <f>_xlfn.XLOOKUP(Table1[[#This Row],[MaterialCode]],cost[Item],cost[Unit Cost])</f>
        <v>522.24</v>
      </c>
      <c r="H73" t="str">
        <f>_xlfn.XLOOKUP(Table1[[#This Row],[MaterialCode]],cost[Item],cost[Unit])</f>
        <v>KG</v>
      </c>
    </row>
    <row r="74" spans="1:9" x14ac:dyDescent="0.3">
      <c r="A74" t="s">
        <v>185</v>
      </c>
      <c r="B74" s="1">
        <v>1401220013</v>
      </c>
      <c r="C74" t="str">
        <f>TRIM(SUBSTITUTE(B74,CHAR(160),""))</f>
        <v>1401220013</v>
      </c>
      <c r="D74" s="7" t="s">
        <v>186</v>
      </c>
      <c r="E74" s="7" t="s">
        <v>12</v>
      </c>
      <c r="F74" s="7" t="s">
        <v>27</v>
      </c>
      <c r="G74" s="7">
        <f>_xlfn.XLOOKUP(Table1[[#This Row],[MaterialCode]],cost[Item],cost[Unit Cost])</f>
        <v>520</v>
      </c>
      <c r="H74" s="7" t="str">
        <f>_xlfn.XLOOKUP(Table1[[#This Row],[MaterialCode]],cost[Item],cost[Unit])</f>
        <v>LTR</v>
      </c>
      <c r="I74" s="7"/>
    </row>
    <row r="75" spans="1:9" x14ac:dyDescent="0.3">
      <c r="A75" t="s">
        <v>13</v>
      </c>
      <c r="B75" s="1">
        <v>1201520009</v>
      </c>
      <c r="C75" t="str">
        <f>TRIM(SUBSTITUTE(B75,CHAR(160),""))</f>
        <v>1201520009</v>
      </c>
      <c r="D75" t="s">
        <v>14</v>
      </c>
      <c r="E75" t="s">
        <v>15</v>
      </c>
      <c r="F75" t="s">
        <v>16</v>
      </c>
      <c r="G75">
        <f>_xlfn.XLOOKUP(Table1[[#This Row],[MaterialCode]],cost[Item],cost[Unit Cost])</f>
        <v>423.61840719999998</v>
      </c>
      <c r="H75" t="str">
        <f>_xlfn.XLOOKUP(Table1[[#This Row],[MaterialCode]],cost[Item],cost[Unit])</f>
        <v>KG</v>
      </c>
    </row>
    <row r="76" spans="1:9" x14ac:dyDescent="0.3">
      <c r="A76" t="s">
        <v>17</v>
      </c>
      <c r="B76" s="1">
        <v>1201520009</v>
      </c>
      <c r="C76" t="str">
        <f>TRIM(SUBSTITUTE(B76,CHAR(160),""))</f>
        <v>1201520009</v>
      </c>
      <c r="D76" t="s">
        <v>14</v>
      </c>
      <c r="E76" t="s">
        <v>15</v>
      </c>
      <c r="F76" t="s">
        <v>18</v>
      </c>
      <c r="G76">
        <f>_xlfn.XLOOKUP(Table1[[#This Row],[MaterialCode]],cost[Item],cost[Unit Cost])</f>
        <v>423.61840719999998</v>
      </c>
      <c r="H76" t="str">
        <f>_xlfn.XLOOKUP(Table1[[#This Row],[MaterialCode]],cost[Item],cost[Unit])</f>
        <v>KG</v>
      </c>
    </row>
    <row r="77" spans="1:9" x14ac:dyDescent="0.3">
      <c r="A77" t="s">
        <v>19</v>
      </c>
      <c r="B77" s="1">
        <v>1201520006</v>
      </c>
      <c r="C77" t="str">
        <f>TRIM(SUBSTITUTE(B77,CHAR(160),""))</f>
        <v>1201520006</v>
      </c>
      <c r="D77" t="s">
        <v>20</v>
      </c>
      <c r="E77" t="s">
        <v>15</v>
      </c>
      <c r="F77" t="s">
        <v>21</v>
      </c>
      <c r="G77">
        <f>_xlfn.XLOOKUP(Table1[[#This Row],[MaterialCode]],cost[Item],cost[Unit Cost])</f>
        <v>407.14435809999998</v>
      </c>
      <c r="H77" t="str">
        <f>_xlfn.XLOOKUP(Table1[[#This Row],[MaterialCode]],cost[Item],cost[Unit])</f>
        <v>KG</v>
      </c>
    </row>
    <row r="78" spans="1:9" x14ac:dyDescent="0.3">
      <c r="A78" t="s">
        <v>22</v>
      </c>
      <c r="B78" s="1">
        <v>1201520006</v>
      </c>
      <c r="C78" t="str">
        <f>TRIM(SUBSTITUTE(B78,CHAR(160),""))</f>
        <v>1201520006</v>
      </c>
      <c r="D78" t="s">
        <v>20</v>
      </c>
      <c r="E78" t="s">
        <v>15</v>
      </c>
      <c r="F78" t="s">
        <v>23</v>
      </c>
      <c r="G78">
        <f>_xlfn.XLOOKUP(Table1[[#This Row],[MaterialCode]],cost[Item],cost[Unit Cost])</f>
        <v>407.14435809999998</v>
      </c>
      <c r="H78" t="str">
        <f>_xlfn.XLOOKUP(Table1[[#This Row],[MaterialCode]],cost[Item],cost[Unit])</f>
        <v>KG</v>
      </c>
    </row>
    <row r="79" spans="1:9" x14ac:dyDescent="0.3">
      <c r="A79" t="s">
        <v>230</v>
      </c>
      <c r="B79" s="1">
        <v>1401990095</v>
      </c>
      <c r="C79" t="str">
        <f>TRIM(SUBSTITUTE(B79,CHAR(160),""))</f>
        <v>1401990095</v>
      </c>
      <c r="D79" t="s">
        <v>231</v>
      </c>
      <c r="E79" t="s">
        <v>8</v>
      </c>
      <c r="F79" t="s">
        <v>9</v>
      </c>
      <c r="G79">
        <f>_xlfn.XLOOKUP(Table1[[#This Row],[MaterialCode]],cost[Item],cost[Unit Cost])</f>
        <v>402.37024580999997</v>
      </c>
      <c r="H79" t="str">
        <f>_xlfn.XLOOKUP(Table1[[#This Row],[MaterialCode]],cost[Item],cost[Unit])</f>
        <v>EA</v>
      </c>
    </row>
    <row r="80" spans="1:9" x14ac:dyDescent="0.3">
      <c r="A80" t="s">
        <v>245</v>
      </c>
      <c r="B80" s="1">
        <v>1201200005</v>
      </c>
      <c r="C80" t="str">
        <f>TRIM(SUBSTITUTE(B80,CHAR(160),""))</f>
        <v>1201200005</v>
      </c>
      <c r="D80" t="s">
        <v>246</v>
      </c>
      <c r="E80" t="s">
        <v>26</v>
      </c>
      <c r="F80" t="s">
        <v>27</v>
      </c>
      <c r="G80">
        <f>_xlfn.XLOOKUP(Table1[[#This Row],[MaterialCode]],cost[Item],cost[Unit Cost])</f>
        <v>380</v>
      </c>
      <c r="H80" t="str">
        <f>_xlfn.XLOOKUP(Table1[[#This Row],[MaterialCode]],cost[Item],cost[Unit])</f>
        <v>LTR</v>
      </c>
    </row>
    <row r="81" spans="1:9" x14ac:dyDescent="0.3">
      <c r="A81" t="s">
        <v>247</v>
      </c>
      <c r="B81" s="1">
        <v>1201200005</v>
      </c>
      <c r="C81" t="str">
        <f>TRIM(SUBSTITUTE(B81,CHAR(160),""))</f>
        <v>1201200005</v>
      </c>
      <c r="D81" t="s">
        <v>246</v>
      </c>
      <c r="E81" t="s">
        <v>26</v>
      </c>
      <c r="F81" t="s">
        <v>41</v>
      </c>
      <c r="G81">
        <f>_xlfn.XLOOKUP(Table1[[#This Row],[MaterialCode]],cost[Item],cost[Unit Cost])</f>
        <v>380</v>
      </c>
      <c r="H81" t="str">
        <f>_xlfn.XLOOKUP(Table1[[#This Row],[MaterialCode]],cost[Item],cost[Unit])</f>
        <v>LTR</v>
      </c>
    </row>
    <row r="82" spans="1:9" x14ac:dyDescent="0.3">
      <c r="A82" t="s">
        <v>63</v>
      </c>
      <c r="B82" s="1">
        <v>1201221001</v>
      </c>
      <c r="C82" t="str">
        <f>TRIM(SUBSTITUTE(B82,CHAR(160),""))</f>
        <v>1201221001</v>
      </c>
      <c r="D82" t="s">
        <v>64</v>
      </c>
      <c r="E82" t="s">
        <v>15</v>
      </c>
      <c r="F82" t="s">
        <v>41</v>
      </c>
      <c r="G82">
        <f>_xlfn.XLOOKUP(Table1[[#This Row],[MaterialCode]],cost[Item],cost[Unit Cost])</f>
        <v>363.32562860000002</v>
      </c>
      <c r="H82" t="str">
        <f>_xlfn.XLOOKUP(Table1[[#This Row],[MaterialCode]],cost[Item],cost[Unit])</f>
        <v>KG</v>
      </c>
    </row>
    <row r="83" spans="1:9" x14ac:dyDescent="0.3">
      <c r="A83" t="s">
        <v>166</v>
      </c>
      <c r="B83" s="1">
        <v>1201221024</v>
      </c>
      <c r="C83" t="str">
        <f>TRIM(SUBSTITUTE(B83,CHAR(160),""))</f>
        <v>1201221024</v>
      </c>
      <c r="D83" t="s">
        <v>167</v>
      </c>
      <c r="E83" t="s">
        <v>26</v>
      </c>
      <c r="F83" t="s">
        <v>41</v>
      </c>
      <c r="G83">
        <f>_xlfn.XLOOKUP(Table1[[#This Row],[MaterialCode]],cost[Item],cost[Unit Cost])</f>
        <v>360</v>
      </c>
      <c r="H83" t="str">
        <f>_xlfn.XLOOKUP(Table1[[#This Row],[MaterialCode]],cost[Item],cost[Unit])</f>
        <v>LTR</v>
      </c>
    </row>
    <row r="84" spans="1:9" x14ac:dyDescent="0.3">
      <c r="A84" t="s">
        <v>313</v>
      </c>
      <c r="B84" s="1">
        <v>1401901012</v>
      </c>
      <c r="C84" t="str">
        <f>TRIM(SUBSTITUTE(B84,CHAR(160),""))</f>
        <v>1401901012</v>
      </c>
      <c r="D84" t="s">
        <v>314</v>
      </c>
      <c r="E84" t="s">
        <v>8</v>
      </c>
      <c r="F84" t="s">
        <v>18</v>
      </c>
      <c r="G84">
        <f>_xlfn.XLOOKUP(Table1[[#This Row],[MaterialCode]],cost[Item],cost[Unit Cost])</f>
        <v>360</v>
      </c>
      <c r="H84" t="str">
        <f>_xlfn.XLOOKUP(Table1[[#This Row],[MaterialCode]],cost[Item],cost[Unit])</f>
        <v>EA</v>
      </c>
    </row>
    <row r="85" spans="1:9" x14ac:dyDescent="0.3">
      <c r="A85" t="s">
        <v>65</v>
      </c>
      <c r="B85" s="1">
        <v>1201221009</v>
      </c>
      <c r="C85" t="str">
        <f>TRIM(SUBSTITUTE(B85,CHAR(160),""))</f>
        <v>1201221009</v>
      </c>
      <c r="D85" t="s">
        <v>66</v>
      </c>
      <c r="E85" t="s">
        <v>15</v>
      </c>
      <c r="F85" t="s">
        <v>41</v>
      </c>
      <c r="G85">
        <f>_xlfn.XLOOKUP(Table1[[#This Row],[MaterialCode]],cost[Item],cost[Unit Cost])</f>
        <v>335.53267490000002</v>
      </c>
      <c r="H85" t="str">
        <f>_xlfn.XLOOKUP(Table1[[#This Row],[MaterialCode]],cost[Item],cost[Unit])</f>
        <v>KG</v>
      </c>
    </row>
    <row r="86" spans="1:9" x14ac:dyDescent="0.3">
      <c r="A86" t="s">
        <v>87</v>
      </c>
      <c r="B86" s="1">
        <v>1201500038</v>
      </c>
      <c r="C86" t="str">
        <f>TRIM(SUBSTITUTE(B86,CHAR(160),""))</f>
        <v>1201500038</v>
      </c>
      <c r="D86" t="s">
        <v>88</v>
      </c>
      <c r="E86" t="s">
        <v>15</v>
      </c>
      <c r="F86" t="s">
        <v>16</v>
      </c>
      <c r="G86">
        <f>_xlfn.XLOOKUP(Table1[[#This Row],[MaterialCode]],cost[Item],cost[Unit Cost])</f>
        <v>304.95999999999998</v>
      </c>
      <c r="H86" t="str">
        <f>_xlfn.XLOOKUP(Table1[[#This Row],[MaterialCode]],cost[Item],cost[Unit])</f>
        <v>KG</v>
      </c>
    </row>
    <row r="87" spans="1:9" x14ac:dyDescent="0.3">
      <c r="A87" t="s">
        <v>89</v>
      </c>
      <c r="B87" s="1">
        <v>1201500038</v>
      </c>
      <c r="C87" t="str">
        <f>TRIM(SUBSTITUTE(B87,CHAR(160),""))</f>
        <v>1201500038</v>
      </c>
      <c r="D87" t="s">
        <v>88</v>
      </c>
      <c r="E87" t="s">
        <v>15</v>
      </c>
      <c r="F87" t="s">
        <v>18</v>
      </c>
      <c r="G87">
        <f>_xlfn.XLOOKUP(Table1[[#This Row],[MaterialCode]],cost[Item],cost[Unit Cost])</f>
        <v>304.95999999999998</v>
      </c>
      <c r="H87" t="str">
        <f>_xlfn.XLOOKUP(Table1[[#This Row],[MaterialCode]],cost[Item],cost[Unit])</f>
        <v>KG</v>
      </c>
    </row>
    <row r="88" spans="1:9" x14ac:dyDescent="0.3">
      <c r="A88" t="s">
        <v>90</v>
      </c>
      <c r="B88" s="1">
        <v>1201500045</v>
      </c>
      <c r="C88" t="str">
        <f>TRIM(SUBSTITUTE(B88,CHAR(160),""))</f>
        <v>1201500045</v>
      </c>
      <c r="D88" t="s">
        <v>91</v>
      </c>
      <c r="E88" t="s">
        <v>15</v>
      </c>
      <c r="F88" t="s">
        <v>23</v>
      </c>
      <c r="G88">
        <f>_xlfn.XLOOKUP(Table1[[#This Row],[MaterialCode]],cost[Item],cost[Unit Cost])</f>
        <v>304.95999999999998</v>
      </c>
      <c r="H88" t="str">
        <f>_xlfn.XLOOKUP(Table1[[#This Row],[MaterialCode]],cost[Item],cost[Unit])</f>
        <v>KG</v>
      </c>
    </row>
    <row r="89" spans="1:9" x14ac:dyDescent="0.3">
      <c r="A89" t="s">
        <v>92</v>
      </c>
      <c r="B89" s="1">
        <v>1201500045</v>
      </c>
      <c r="C89" t="str">
        <f>TRIM(SUBSTITUTE(B89,CHAR(160),""))</f>
        <v>1201500045</v>
      </c>
      <c r="D89" t="s">
        <v>91</v>
      </c>
      <c r="E89" t="s">
        <v>15</v>
      </c>
      <c r="F89" t="s">
        <v>18</v>
      </c>
      <c r="G89">
        <f>_xlfn.XLOOKUP(Table1[[#This Row],[MaterialCode]],cost[Item],cost[Unit Cost])</f>
        <v>304.95999999999998</v>
      </c>
      <c r="H89" t="str">
        <f>_xlfn.XLOOKUP(Table1[[#This Row],[MaterialCode]],cost[Item],cost[Unit])</f>
        <v>KG</v>
      </c>
    </row>
    <row r="90" spans="1:9" x14ac:dyDescent="0.3">
      <c r="A90" t="s">
        <v>93</v>
      </c>
      <c r="B90" s="1">
        <v>1201500049</v>
      </c>
      <c r="C90" t="str">
        <f>TRIM(SUBSTITUTE(B90,CHAR(160),""))</f>
        <v>1201500049</v>
      </c>
      <c r="D90" t="s">
        <v>94</v>
      </c>
      <c r="E90" t="s">
        <v>15</v>
      </c>
      <c r="F90" t="s">
        <v>23</v>
      </c>
      <c r="G90">
        <f>_xlfn.XLOOKUP(Table1[[#This Row],[MaterialCode]],cost[Item],cost[Unit Cost])</f>
        <v>304.95999999999998</v>
      </c>
      <c r="H90" t="str">
        <f>_xlfn.XLOOKUP(Table1[[#This Row],[MaterialCode]],cost[Item],cost[Unit])</f>
        <v>KG</v>
      </c>
    </row>
    <row r="91" spans="1:9" x14ac:dyDescent="0.3">
      <c r="A91" t="s">
        <v>95</v>
      </c>
      <c r="B91" s="1">
        <v>1201500046</v>
      </c>
      <c r="C91" t="str">
        <f>TRIM(SUBSTITUTE(B91,CHAR(160),""))</f>
        <v>1201500046</v>
      </c>
      <c r="D91" t="s">
        <v>96</v>
      </c>
      <c r="E91" t="s">
        <v>15</v>
      </c>
      <c r="F91" t="s">
        <v>21</v>
      </c>
      <c r="G91">
        <f>_xlfn.XLOOKUP(Table1[[#This Row],[MaterialCode]],cost[Item],cost[Unit Cost])</f>
        <v>304.95999999999998</v>
      </c>
      <c r="H91" t="str">
        <f>_xlfn.XLOOKUP(Table1[[#This Row],[MaterialCode]],cost[Item],cost[Unit])</f>
        <v>KG</v>
      </c>
    </row>
    <row r="92" spans="1:9" x14ac:dyDescent="0.3">
      <c r="A92" t="s">
        <v>97</v>
      </c>
      <c r="B92" s="1">
        <v>1201500046</v>
      </c>
      <c r="C92" t="str">
        <f>TRIM(SUBSTITUTE(B92,CHAR(160),""))</f>
        <v>1201500046</v>
      </c>
      <c r="D92" t="s">
        <v>96</v>
      </c>
      <c r="E92" t="s">
        <v>15</v>
      </c>
      <c r="F92" t="s">
        <v>16</v>
      </c>
      <c r="G92">
        <f>_xlfn.XLOOKUP(Table1[[#This Row],[MaterialCode]],cost[Item],cost[Unit Cost])</f>
        <v>304.95999999999998</v>
      </c>
      <c r="H92" t="str">
        <f>_xlfn.XLOOKUP(Table1[[#This Row],[MaterialCode]],cost[Item],cost[Unit])</f>
        <v>KG</v>
      </c>
    </row>
    <row r="93" spans="1:9" x14ac:dyDescent="0.3">
      <c r="A93" t="s">
        <v>256</v>
      </c>
      <c r="B93" s="1">
        <v>1401400022</v>
      </c>
      <c r="C93" t="str">
        <f>TRIM(SUBSTITUTE(B93,CHAR(160),""))</f>
        <v>1401400022</v>
      </c>
      <c r="D93" t="s">
        <v>257</v>
      </c>
      <c r="E93" t="s">
        <v>8</v>
      </c>
      <c r="F93" t="s">
        <v>21</v>
      </c>
      <c r="G93">
        <f>_xlfn.XLOOKUP(Table1[[#This Row],[MaterialCode]],cost[Item],cost[Unit Cost])</f>
        <v>296</v>
      </c>
      <c r="H93" t="str">
        <f>_xlfn.XLOOKUP(Table1[[#This Row],[MaterialCode]],cost[Item],cost[Unit])</f>
        <v>EA</v>
      </c>
    </row>
    <row r="94" spans="1:9" x14ac:dyDescent="0.3">
      <c r="A94" t="s">
        <v>258</v>
      </c>
      <c r="B94" s="1">
        <v>1401400022</v>
      </c>
      <c r="C94" t="str">
        <f>TRIM(SUBSTITUTE(B94,CHAR(160),""))</f>
        <v>1401400022</v>
      </c>
      <c r="D94" t="s">
        <v>259</v>
      </c>
      <c r="E94" t="s">
        <v>8</v>
      </c>
      <c r="F94" t="s">
        <v>21</v>
      </c>
      <c r="G94">
        <f>_xlfn.XLOOKUP(Table1[[#This Row],[MaterialCode]],cost[Item],cost[Unit Cost])</f>
        <v>296</v>
      </c>
      <c r="H94" t="str">
        <f>_xlfn.XLOOKUP(Table1[[#This Row],[MaterialCode]],cost[Item],cost[Unit])</f>
        <v>EA</v>
      </c>
    </row>
    <row r="95" spans="1:9" x14ac:dyDescent="0.3">
      <c r="A95" t="s">
        <v>334</v>
      </c>
      <c r="B95" s="1">
        <v>1201200001</v>
      </c>
      <c r="C95" t="str">
        <f>TRIM(SUBSTITUTE(B95,CHAR(160),""))</f>
        <v>1201200001</v>
      </c>
      <c r="D95" t="s">
        <v>335</v>
      </c>
      <c r="E95" t="s">
        <v>12</v>
      </c>
      <c r="F95" t="s">
        <v>27</v>
      </c>
      <c r="G95">
        <f>_xlfn.XLOOKUP(Table1[[#This Row],[MaterialCode]],cost[Item],cost[Unit Cost])</f>
        <v>268.84527559000003</v>
      </c>
      <c r="H95" t="str">
        <f>_xlfn.XLOOKUP(Table1[[#This Row],[MaterialCode]],cost[Item],cost[Unit])</f>
        <v>KG</v>
      </c>
      <c r="I95">
        <v>0.26884530000000001</v>
      </c>
    </row>
    <row r="96" spans="1:9" x14ac:dyDescent="0.3">
      <c r="A96" t="s">
        <v>420</v>
      </c>
      <c r="B96" s="1">
        <v>1201201003</v>
      </c>
      <c r="C96" t="str">
        <f>TRIM(SUBSTITUTE(B96,CHAR(160),""))</f>
        <v>1201201003</v>
      </c>
      <c r="D96" s="7" t="s">
        <v>421</v>
      </c>
      <c r="E96" s="7" t="s">
        <v>12</v>
      </c>
      <c r="F96" s="7" t="s">
        <v>27</v>
      </c>
      <c r="G96" s="7">
        <f>_xlfn.XLOOKUP(Table1[[#This Row],[MaterialCode]],cost[Item],cost[Unit Cost])</f>
        <v>250</v>
      </c>
      <c r="H96" s="7" t="str">
        <f>_xlfn.XLOOKUP(Table1[[#This Row],[MaterialCode]],cost[Item],cost[Unit])</f>
        <v>LTR</v>
      </c>
      <c r="I96" s="7"/>
    </row>
    <row r="97" spans="1:8" x14ac:dyDescent="0.3">
      <c r="A97" t="s">
        <v>159</v>
      </c>
      <c r="B97" s="1">
        <v>1201220009</v>
      </c>
      <c r="C97" t="str">
        <f>TRIM(SUBSTITUTE(B97,CHAR(160),""))</f>
        <v>1201220009</v>
      </c>
      <c r="D97" t="s">
        <v>160</v>
      </c>
      <c r="E97" t="s">
        <v>26</v>
      </c>
      <c r="F97" t="s">
        <v>9</v>
      </c>
      <c r="G97">
        <f>_xlfn.XLOOKUP(Table1[[#This Row],[MaterialCode]],cost[Item],cost[Unit Cost])</f>
        <v>240</v>
      </c>
      <c r="H97" t="str">
        <f>_xlfn.XLOOKUP(Table1[[#This Row],[MaterialCode]],cost[Item],cost[Unit])</f>
        <v>LTR</v>
      </c>
    </row>
    <row r="98" spans="1:8" x14ac:dyDescent="0.3">
      <c r="A98" t="s">
        <v>161</v>
      </c>
      <c r="B98" s="1">
        <v>1201220009</v>
      </c>
      <c r="C98" t="str">
        <f>TRIM(SUBSTITUTE(B98,CHAR(160),""))</f>
        <v>1201220009</v>
      </c>
      <c r="D98" t="s">
        <v>160</v>
      </c>
      <c r="E98" t="s">
        <v>26</v>
      </c>
      <c r="F98" t="s">
        <v>41</v>
      </c>
      <c r="G98">
        <f>_xlfn.XLOOKUP(Table1[[#This Row],[MaterialCode]],cost[Item],cost[Unit Cost])</f>
        <v>240</v>
      </c>
      <c r="H98" t="str">
        <f>_xlfn.XLOOKUP(Table1[[#This Row],[MaterialCode]],cost[Item],cost[Unit])</f>
        <v>LTR</v>
      </c>
    </row>
    <row r="99" spans="1:8" x14ac:dyDescent="0.3">
      <c r="A99" t="s">
        <v>24</v>
      </c>
      <c r="B99" s="1">
        <v>1201220006</v>
      </c>
      <c r="C99" t="str">
        <f>TRIM(SUBSTITUTE(B99,CHAR(160),""))</f>
        <v>1201220006</v>
      </c>
      <c r="D99" t="s">
        <v>25</v>
      </c>
      <c r="E99" t="s">
        <v>26</v>
      </c>
      <c r="F99" t="s">
        <v>27</v>
      </c>
      <c r="G99">
        <f>_xlfn.XLOOKUP(Table1[[#This Row],[MaterialCode]],cost[Item],cost[Unit Cost])</f>
        <v>212.5</v>
      </c>
      <c r="H99" t="str">
        <f>_xlfn.XLOOKUP(Table1[[#This Row],[MaterialCode]],cost[Item],cost[Unit])</f>
        <v>LTR</v>
      </c>
    </row>
    <row r="100" spans="1:8" x14ac:dyDescent="0.3">
      <c r="A100" t="s">
        <v>37</v>
      </c>
      <c r="B100" s="1">
        <v>1207100002</v>
      </c>
      <c r="C100" t="str">
        <f>TRIM(SUBSTITUTE(B100,CHAR(160),""))</f>
        <v>1207100002</v>
      </c>
      <c r="D100" t="s">
        <v>38</v>
      </c>
      <c r="E100" t="s">
        <v>15</v>
      </c>
      <c r="F100" t="s">
        <v>33</v>
      </c>
      <c r="G100">
        <f>_xlfn.XLOOKUP(Table1[[#This Row],[MaterialCode]],cost[Item],cost[Unit Cost])</f>
        <v>211.22300000000001</v>
      </c>
      <c r="H100" t="str">
        <f>_xlfn.XLOOKUP(Table1[[#This Row],[MaterialCode]],cost[Item],cost[Unit])</f>
        <v>KG</v>
      </c>
    </row>
    <row r="101" spans="1:8" x14ac:dyDescent="0.3">
      <c r="A101" t="s">
        <v>405</v>
      </c>
      <c r="B101" s="1">
        <v>1401400027</v>
      </c>
      <c r="C101" t="str">
        <f>TRIM(SUBSTITUTE(B101,CHAR(160),""))</f>
        <v>1401400027</v>
      </c>
      <c r="D101" t="s">
        <v>406</v>
      </c>
      <c r="E101" t="s">
        <v>8</v>
      </c>
      <c r="F101" t="s">
        <v>18</v>
      </c>
      <c r="G101">
        <f>_xlfn.XLOOKUP(Table1[[#This Row],[MaterialCode]],cost[Item],cost[Unit Cost])</f>
        <v>201.25</v>
      </c>
      <c r="H101" t="str">
        <f>_xlfn.XLOOKUP(Table1[[#This Row],[MaterialCode]],cost[Item],cost[Unit])</f>
        <v>EA</v>
      </c>
    </row>
    <row r="102" spans="1:8" x14ac:dyDescent="0.3">
      <c r="A102" t="s">
        <v>178</v>
      </c>
      <c r="B102" s="1">
        <v>1401560006</v>
      </c>
      <c r="C102" t="str">
        <f>TRIM(SUBSTITUTE(B102,CHAR(160),""))</f>
        <v>1401560006</v>
      </c>
      <c r="D102" t="s">
        <v>179</v>
      </c>
      <c r="E102" t="s">
        <v>8</v>
      </c>
      <c r="F102" t="s">
        <v>9</v>
      </c>
      <c r="G102">
        <f>_xlfn.XLOOKUP(Table1[[#This Row],[MaterialCode]],cost[Item],cost[Unit Cost])</f>
        <v>180.86937033999999</v>
      </c>
      <c r="H102" t="str">
        <f>_xlfn.XLOOKUP(Table1[[#This Row],[MaterialCode]],cost[Item],cost[Unit])</f>
        <v>EA</v>
      </c>
    </row>
    <row r="103" spans="1:8" x14ac:dyDescent="0.3">
      <c r="A103" t="s">
        <v>260</v>
      </c>
      <c r="B103" s="1">
        <v>1201221010</v>
      </c>
      <c r="C103" t="str">
        <f>TRIM(SUBSTITUTE(B103,CHAR(160),""))</f>
        <v>1201221010</v>
      </c>
      <c r="D103" t="s">
        <v>261</v>
      </c>
      <c r="E103" t="s">
        <v>15</v>
      </c>
      <c r="F103" t="s">
        <v>41</v>
      </c>
      <c r="G103">
        <f>_xlfn.XLOOKUP(Table1[[#This Row],[MaterialCode]],cost[Item],cost[Unit Cost])</f>
        <v>163.68898224</v>
      </c>
      <c r="H103" t="str">
        <f>_xlfn.XLOOKUP(Table1[[#This Row],[MaterialCode]],cost[Item],cost[Unit])</f>
        <v>KG</v>
      </c>
    </row>
    <row r="104" spans="1:8" x14ac:dyDescent="0.3">
      <c r="A104" t="s">
        <v>409</v>
      </c>
      <c r="B104" s="1">
        <v>1401400026</v>
      </c>
      <c r="C104" t="str">
        <f>TRIM(SUBSTITUTE(B104,CHAR(160),""))</f>
        <v>1401400026</v>
      </c>
      <c r="D104" t="s">
        <v>410</v>
      </c>
      <c r="E104" t="s">
        <v>8</v>
      </c>
      <c r="F104" t="s">
        <v>18</v>
      </c>
      <c r="G104">
        <f>_xlfn.XLOOKUP(Table1[[#This Row],[MaterialCode]],cost[Item],cost[Unit Cost])</f>
        <v>143.75</v>
      </c>
      <c r="H104" t="str">
        <f>_xlfn.XLOOKUP(Table1[[#This Row],[MaterialCode]],cost[Item],cost[Unit])</f>
        <v>EA</v>
      </c>
    </row>
    <row r="105" spans="1:8" x14ac:dyDescent="0.3">
      <c r="A105" t="s">
        <v>211</v>
      </c>
      <c r="B105" s="1">
        <v>1201201001</v>
      </c>
      <c r="C105" t="str">
        <f>TRIM(SUBSTITUTE(B105,CHAR(160),""))</f>
        <v>1201201001</v>
      </c>
      <c r="D105" t="s">
        <v>212</v>
      </c>
      <c r="E105" t="s">
        <v>26</v>
      </c>
      <c r="F105" t="s">
        <v>27</v>
      </c>
      <c r="G105">
        <f>_xlfn.XLOOKUP(Table1[[#This Row],[MaterialCode]],cost[Item],cost[Unit Cost])</f>
        <v>125</v>
      </c>
      <c r="H105" t="str">
        <f>_xlfn.XLOOKUP(Table1[[#This Row],[MaterialCode]],cost[Item],cost[Unit])</f>
        <v>LTR</v>
      </c>
    </row>
    <row r="106" spans="1:8" x14ac:dyDescent="0.3">
      <c r="A106" t="s">
        <v>139</v>
      </c>
      <c r="B106" s="1">
        <v>1201300008</v>
      </c>
      <c r="C106" t="str">
        <f>TRIM(SUBSTITUTE(B106,CHAR(160),""))</f>
        <v>1201300008</v>
      </c>
      <c r="D106" t="s">
        <v>140</v>
      </c>
      <c r="E106" t="s">
        <v>15</v>
      </c>
      <c r="F106" t="s">
        <v>41</v>
      </c>
      <c r="G106">
        <f>_xlfn.XLOOKUP(Table1[[#This Row],[MaterialCode]],cost[Item],cost[Unit Cost])</f>
        <v>100</v>
      </c>
      <c r="H106" t="str">
        <f>_xlfn.XLOOKUP(Table1[[#This Row],[MaterialCode]],cost[Item],cost[Unit])</f>
        <v>KG</v>
      </c>
    </row>
    <row r="107" spans="1:8" x14ac:dyDescent="0.3">
      <c r="A107" t="s">
        <v>31</v>
      </c>
      <c r="B107" s="1">
        <v>1405100001</v>
      </c>
      <c r="C107" t="str">
        <f>TRIM(SUBSTITUTE(B107,CHAR(160),""))</f>
        <v>1405100001</v>
      </c>
      <c r="D107" t="s">
        <v>32</v>
      </c>
      <c r="E107" t="s">
        <v>26</v>
      </c>
      <c r="F107" t="s">
        <v>33</v>
      </c>
      <c r="G107">
        <f>_xlfn.XLOOKUP(Table1[[#This Row],[MaterialCode]],cost[Item],cost[Unit Cost])</f>
        <v>70.739999999999995</v>
      </c>
      <c r="H107" t="str">
        <f>_xlfn.XLOOKUP(Table1[[#This Row],[MaterialCode]],cost[Item],cost[Unit])</f>
        <v>LTR</v>
      </c>
    </row>
    <row r="108" spans="1:8" x14ac:dyDescent="0.3">
      <c r="A108" t="s">
        <v>39</v>
      </c>
      <c r="B108" s="1">
        <v>1201221015</v>
      </c>
      <c r="C108" t="str">
        <f>TRIM(SUBSTITUTE(B108,CHAR(160),""))</f>
        <v>1201221015</v>
      </c>
      <c r="D108" t="s">
        <v>40</v>
      </c>
      <c r="E108" t="s">
        <v>15</v>
      </c>
      <c r="F108" t="s">
        <v>41</v>
      </c>
      <c r="G108">
        <f>_xlfn.XLOOKUP(Table1[[#This Row],[MaterialCode]],cost[Item],cost[Unit Cost])</f>
        <v>70</v>
      </c>
      <c r="H108" t="str">
        <f>_xlfn.XLOOKUP(Table1[[#This Row],[MaterialCode]],cost[Item],cost[Unit])</f>
        <v>KG</v>
      </c>
    </row>
    <row r="109" spans="1:8" x14ac:dyDescent="0.3">
      <c r="A109" t="s">
        <v>162</v>
      </c>
      <c r="B109" s="1">
        <v>1401400011</v>
      </c>
      <c r="C109" t="str">
        <f>TRIM(SUBSTITUTE(B109,CHAR(160),""))</f>
        <v>1401400011</v>
      </c>
      <c r="D109" t="s">
        <v>163</v>
      </c>
      <c r="E109" t="s">
        <v>15</v>
      </c>
      <c r="F109" t="s">
        <v>21</v>
      </c>
      <c r="G109">
        <f>_xlfn.XLOOKUP(Table1[[#This Row],[MaterialCode]],cost[Item],cost[Unit Cost])</f>
        <v>70</v>
      </c>
      <c r="H109" t="str">
        <f>_xlfn.XLOOKUP(Table1[[#This Row],[MaterialCode]],cost[Item],cost[Unit])</f>
        <v>KG</v>
      </c>
    </row>
    <row r="110" spans="1:8" x14ac:dyDescent="0.3">
      <c r="A110" t="s">
        <v>164</v>
      </c>
      <c r="B110" s="1">
        <v>1401400011</v>
      </c>
      <c r="C110" t="str">
        <f>TRIM(SUBSTITUTE(B110,CHAR(160),""))</f>
        <v>1401400011</v>
      </c>
      <c r="D110" t="s">
        <v>163</v>
      </c>
      <c r="E110" t="s">
        <v>15</v>
      </c>
      <c r="F110" t="s">
        <v>41</v>
      </c>
      <c r="G110">
        <f>_xlfn.XLOOKUP(Table1[[#This Row],[MaterialCode]],cost[Item],cost[Unit Cost])</f>
        <v>70</v>
      </c>
      <c r="H110" t="str">
        <f>_xlfn.XLOOKUP(Table1[[#This Row],[MaterialCode]],cost[Item],cost[Unit])</f>
        <v>KG</v>
      </c>
    </row>
    <row r="111" spans="1:8" x14ac:dyDescent="0.3">
      <c r="A111" t="s">
        <v>165</v>
      </c>
      <c r="B111" s="1">
        <v>1401400011</v>
      </c>
      <c r="C111" t="str">
        <f>TRIM(SUBSTITUTE(B111,CHAR(160),""))</f>
        <v>1401400011</v>
      </c>
      <c r="D111" t="s">
        <v>163</v>
      </c>
      <c r="E111" t="s">
        <v>15</v>
      </c>
      <c r="F111" t="s">
        <v>18</v>
      </c>
      <c r="G111">
        <f>_xlfn.XLOOKUP(Table1[[#This Row],[MaterialCode]],cost[Item],cost[Unit Cost])</f>
        <v>70</v>
      </c>
      <c r="H111" t="str">
        <f>_xlfn.XLOOKUP(Table1[[#This Row],[MaterialCode]],cost[Item],cost[Unit])</f>
        <v>KG</v>
      </c>
    </row>
    <row r="112" spans="1:8" x14ac:dyDescent="0.3">
      <c r="A112" t="s">
        <v>209</v>
      </c>
      <c r="B112" s="1">
        <v>1401990098</v>
      </c>
      <c r="C112" t="str">
        <f>TRIM(SUBSTITUTE(B112,CHAR(160),""))</f>
        <v>1401990098</v>
      </c>
      <c r="D112" t="s">
        <v>210</v>
      </c>
      <c r="E112" t="s">
        <v>8</v>
      </c>
      <c r="F112" t="s">
        <v>41</v>
      </c>
      <c r="G112">
        <f>_xlfn.XLOOKUP(Table1[[#This Row],[MaterialCode]],cost[Item],cost[Unit Cost])</f>
        <v>68.790000000000006</v>
      </c>
      <c r="H112" t="str">
        <f>_xlfn.XLOOKUP(Table1[[#This Row],[MaterialCode]],cost[Item],cost[Unit])</f>
        <v>EA</v>
      </c>
    </row>
    <row r="113" spans="1:9" x14ac:dyDescent="0.3">
      <c r="A113" t="s">
        <v>180</v>
      </c>
      <c r="B113" s="1">
        <v>1401560005</v>
      </c>
      <c r="C113" t="str">
        <f>TRIM(SUBSTITUTE(B113,CHAR(160),""))</f>
        <v>1401560005</v>
      </c>
      <c r="D113" t="s">
        <v>181</v>
      </c>
      <c r="E113" t="s">
        <v>8</v>
      </c>
      <c r="F113" t="s">
        <v>16</v>
      </c>
      <c r="G113">
        <f>_xlfn.XLOOKUP(Table1[[#This Row],[MaterialCode]],cost[Item],cost[Unit Cost])</f>
        <v>65</v>
      </c>
      <c r="H113" t="str">
        <f>_xlfn.XLOOKUP(Table1[[#This Row],[MaterialCode]],cost[Item],cost[Unit])</f>
        <v>EA</v>
      </c>
    </row>
    <row r="114" spans="1:9" x14ac:dyDescent="0.3">
      <c r="A114" t="s">
        <v>182</v>
      </c>
      <c r="B114" s="1">
        <v>1401560005</v>
      </c>
      <c r="C114" t="str">
        <f>TRIM(SUBSTITUTE(B114,CHAR(160),""))</f>
        <v>1401560005</v>
      </c>
      <c r="D114" t="s">
        <v>181</v>
      </c>
      <c r="E114" t="s">
        <v>8</v>
      </c>
      <c r="F114" t="s">
        <v>18</v>
      </c>
      <c r="G114">
        <f>_xlfn.XLOOKUP(Table1[[#This Row],[MaterialCode]],cost[Item],cost[Unit Cost])</f>
        <v>65</v>
      </c>
      <c r="H114" t="str">
        <f>_xlfn.XLOOKUP(Table1[[#This Row],[MaterialCode]],cost[Item],cost[Unit])</f>
        <v>EA</v>
      </c>
    </row>
    <row r="115" spans="1:9" x14ac:dyDescent="0.3">
      <c r="A115" t="s">
        <v>407</v>
      </c>
      <c r="B115" s="1">
        <v>1401400025</v>
      </c>
      <c r="C115" t="str">
        <f>TRIM(SUBSTITUTE(B115,CHAR(160),""))</f>
        <v>1401400025</v>
      </c>
      <c r="D115" t="s">
        <v>408</v>
      </c>
      <c r="E115" t="s">
        <v>8</v>
      </c>
      <c r="F115" t="s">
        <v>18</v>
      </c>
      <c r="G115">
        <f>_xlfn.XLOOKUP(Table1[[#This Row],[MaterialCode]],cost[Item],cost[Unit Cost])</f>
        <v>57.5</v>
      </c>
      <c r="H115" t="str">
        <f>_xlfn.XLOOKUP(Table1[[#This Row],[MaterialCode]],cost[Item],cost[Unit])</f>
        <v>EA</v>
      </c>
    </row>
    <row r="116" spans="1:9" x14ac:dyDescent="0.3">
      <c r="A116" t="s">
        <v>248</v>
      </c>
      <c r="B116" s="1">
        <v>1401990003</v>
      </c>
      <c r="C116" t="str">
        <f>TRIM(SUBSTITUTE(B116,CHAR(160),""))</f>
        <v>1401990003</v>
      </c>
      <c r="D116" t="s">
        <v>249</v>
      </c>
      <c r="E116" t="s">
        <v>15</v>
      </c>
      <c r="F116" t="s">
        <v>41</v>
      </c>
      <c r="G116">
        <f>_xlfn.XLOOKUP(Table1[[#This Row],[MaterialCode]],cost[Item],cost[Unit Cost])</f>
        <v>55</v>
      </c>
      <c r="H116" t="str">
        <f>_xlfn.XLOOKUP(Table1[[#This Row],[MaterialCode]],cost[Item],cost[Unit])</f>
        <v>KG</v>
      </c>
    </row>
    <row r="117" spans="1:9" x14ac:dyDescent="0.3">
      <c r="A117" t="s">
        <v>250</v>
      </c>
      <c r="B117" s="1">
        <v>1401990003</v>
      </c>
      <c r="C117" t="str">
        <f>TRIM(SUBSTITUTE(B117,CHAR(160),""))</f>
        <v>1401990003</v>
      </c>
      <c r="D117" t="s">
        <v>249</v>
      </c>
      <c r="E117" t="s">
        <v>15</v>
      </c>
      <c r="F117" t="s">
        <v>18</v>
      </c>
      <c r="G117">
        <f>_xlfn.XLOOKUP(Table1[[#This Row],[MaterialCode]],cost[Item],cost[Unit Cost])</f>
        <v>55</v>
      </c>
      <c r="H117" t="str">
        <f>_xlfn.XLOOKUP(Table1[[#This Row],[MaterialCode]],cost[Item],cost[Unit])</f>
        <v>KG</v>
      </c>
    </row>
    <row r="118" spans="1:9" x14ac:dyDescent="0.3">
      <c r="A118" t="s">
        <v>205</v>
      </c>
      <c r="B118" s="1">
        <v>1401990096</v>
      </c>
      <c r="C118" t="str">
        <f>TRIM(SUBSTITUTE(B118,CHAR(160),""))</f>
        <v>1401990096</v>
      </c>
      <c r="D118" s="7" t="s">
        <v>206</v>
      </c>
      <c r="E118" s="7" t="s">
        <v>8</v>
      </c>
      <c r="F118" s="7" t="s">
        <v>9</v>
      </c>
      <c r="G118" s="7">
        <f>_xlfn.XLOOKUP(Table1[[#This Row],[MaterialCode]],cost[Item],cost[Unit Cost])</f>
        <v>53.994534600000001</v>
      </c>
      <c r="H118" s="7" t="str">
        <f>_xlfn.XLOOKUP(Table1[[#This Row],[MaterialCode]],cost[Item],cost[Unit])</f>
        <v>BOX</v>
      </c>
      <c r="I118" s="7"/>
    </row>
    <row r="119" spans="1:9" x14ac:dyDescent="0.3">
      <c r="A119" t="s">
        <v>357</v>
      </c>
      <c r="B119" s="1">
        <v>1208101043</v>
      </c>
      <c r="C119" t="str">
        <f>TRIM(SUBSTITUTE(B119,CHAR(160),""))</f>
        <v>1208101043</v>
      </c>
      <c r="D119" t="s">
        <v>358</v>
      </c>
      <c r="E119" t="s">
        <v>12</v>
      </c>
      <c r="F119" t="s">
        <v>30</v>
      </c>
      <c r="G119">
        <f>_xlfn.XLOOKUP(Table1[[#This Row],[MaterialCode]],cost[Item],cost[Unit Cost])</f>
        <v>46.186671359999998</v>
      </c>
      <c r="H119" t="str">
        <f>_xlfn.XLOOKUP(Table1[[#This Row],[MaterialCode]],cost[Item],cost[Unit])</f>
        <v>GR</v>
      </c>
    </row>
    <row r="120" spans="1:9" x14ac:dyDescent="0.3">
      <c r="A120" t="s">
        <v>367</v>
      </c>
      <c r="B120" s="1">
        <v>1208101042</v>
      </c>
      <c r="C120" t="str">
        <f>TRIM(SUBSTITUTE(B120,CHAR(160),""))</f>
        <v>1208101042</v>
      </c>
      <c r="D120" t="s">
        <v>368</v>
      </c>
      <c r="E120" t="s">
        <v>12</v>
      </c>
      <c r="F120" t="s">
        <v>30</v>
      </c>
      <c r="G120">
        <f>_xlfn.XLOOKUP(Table1[[#This Row],[MaterialCode]],cost[Item],cost[Unit Cost])</f>
        <v>42.847732800000003</v>
      </c>
      <c r="H120" t="str">
        <f>_xlfn.XLOOKUP(Table1[[#This Row],[MaterialCode]],cost[Item],cost[Unit])</f>
        <v>GR</v>
      </c>
    </row>
    <row r="121" spans="1:9" x14ac:dyDescent="0.3">
      <c r="A121" t="s">
        <v>369</v>
      </c>
      <c r="B121" s="1">
        <v>1208101036</v>
      </c>
      <c r="C121" t="str">
        <f>TRIM(SUBSTITUTE(B121,CHAR(160),""))</f>
        <v>1208101036</v>
      </c>
      <c r="D121" t="s">
        <v>370</v>
      </c>
      <c r="E121" t="s">
        <v>12</v>
      </c>
      <c r="F121" t="s">
        <v>30</v>
      </c>
      <c r="G121">
        <f>_xlfn.XLOOKUP(Table1[[#This Row],[MaterialCode]],cost[Item],cost[Unit Cost])</f>
        <v>41.681280000000001</v>
      </c>
      <c r="H121" t="str">
        <f>_xlfn.XLOOKUP(Table1[[#This Row],[MaterialCode]],cost[Item],cost[Unit])</f>
        <v>GR</v>
      </c>
    </row>
    <row r="122" spans="1:9" x14ac:dyDescent="0.3">
      <c r="A122" t="s">
        <v>365</v>
      </c>
      <c r="B122" s="1">
        <v>1208101040</v>
      </c>
      <c r="C122" t="str">
        <f>TRIM(SUBSTITUTE(B122,CHAR(160),""))</f>
        <v>1208101040</v>
      </c>
      <c r="D122" t="s">
        <v>366</v>
      </c>
      <c r="E122" t="s">
        <v>12</v>
      </c>
      <c r="F122" t="s">
        <v>30</v>
      </c>
      <c r="G122">
        <f>_xlfn.XLOOKUP(Table1[[#This Row],[MaterialCode]],cost[Item],cost[Unit Cost])</f>
        <v>32.145600000000002</v>
      </c>
      <c r="H122" t="str">
        <f>_xlfn.XLOOKUP(Table1[[#This Row],[MaterialCode]],cost[Item],cost[Unit])</f>
        <v>GR</v>
      </c>
    </row>
    <row r="123" spans="1:9" x14ac:dyDescent="0.3">
      <c r="A123" t="s">
        <v>296</v>
      </c>
      <c r="B123" s="1">
        <v>1205001017</v>
      </c>
      <c r="C123" t="str">
        <f>TRIM(SUBSTITUTE(B123,CHAR(160),""))</f>
        <v>1205001017</v>
      </c>
      <c r="D123" t="s">
        <v>297</v>
      </c>
      <c r="E123" t="s">
        <v>8</v>
      </c>
      <c r="F123" t="s">
        <v>21</v>
      </c>
      <c r="G123">
        <f>_xlfn.XLOOKUP(Table1[[#This Row],[MaterialCode]],cost[Item],cost[Unit Cost])</f>
        <v>29.065666855</v>
      </c>
      <c r="H123" t="str">
        <f>_xlfn.XLOOKUP(Table1[[#This Row],[MaterialCode]],cost[Item],cost[Unit])</f>
        <v>EA</v>
      </c>
    </row>
    <row r="124" spans="1:9" x14ac:dyDescent="0.3">
      <c r="A124" t="s">
        <v>298</v>
      </c>
      <c r="B124" s="1">
        <v>2405001032</v>
      </c>
      <c r="C124" t="str">
        <f>TRIM(SUBSTITUTE(B124,CHAR(160),""))</f>
        <v>2405001032</v>
      </c>
      <c r="D124" t="s">
        <v>299</v>
      </c>
      <c r="E124" t="s">
        <v>8</v>
      </c>
      <c r="F124" t="s">
        <v>21</v>
      </c>
      <c r="G124">
        <f>_xlfn.XLOOKUP(Table1[[#This Row],[MaterialCode]],cost[Item],cost[Unit Cost])</f>
        <v>29.065660000000001</v>
      </c>
      <c r="H124" t="str">
        <f>_xlfn.XLOOKUP(Table1[[#This Row],[MaterialCode]],cost[Item],cost[Unit])</f>
        <v>EA</v>
      </c>
    </row>
    <row r="125" spans="1:9" x14ac:dyDescent="0.3">
      <c r="A125" t="s">
        <v>290</v>
      </c>
      <c r="B125" s="1">
        <v>2405001028</v>
      </c>
      <c r="C125" t="str">
        <f>TRIM(SUBSTITUTE(B125,CHAR(160),""))</f>
        <v>2405001028</v>
      </c>
      <c r="D125" t="s">
        <v>291</v>
      </c>
      <c r="E125" t="s">
        <v>8</v>
      </c>
      <c r="F125" t="s">
        <v>21</v>
      </c>
      <c r="G125">
        <f>_xlfn.XLOOKUP(Table1[[#This Row],[MaterialCode]],cost[Item],cost[Unit Cost])</f>
        <v>28.67774</v>
      </c>
      <c r="H125" t="str">
        <f>_xlfn.XLOOKUP(Table1[[#This Row],[MaterialCode]],cost[Item],cost[Unit])</f>
        <v>EA</v>
      </c>
    </row>
    <row r="126" spans="1:9" x14ac:dyDescent="0.3">
      <c r="A126" t="s">
        <v>288</v>
      </c>
      <c r="B126" s="1">
        <v>1205001016</v>
      </c>
      <c r="C126" t="str">
        <f>TRIM(SUBSTITUTE(B126,CHAR(160),""))</f>
        <v>1205001016</v>
      </c>
      <c r="D126" t="s">
        <v>289</v>
      </c>
      <c r="E126" t="s">
        <v>8</v>
      </c>
      <c r="F126" t="s">
        <v>21</v>
      </c>
      <c r="G126">
        <f>_xlfn.XLOOKUP(Table1[[#This Row],[MaterialCode]],cost[Item],cost[Unit Cost])</f>
        <v>28.677736616000001</v>
      </c>
      <c r="H126" t="str">
        <f>_xlfn.XLOOKUP(Table1[[#This Row],[MaterialCode]],cost[Item],cost[Unit])</f>
        <v>EA</v>
      </c>
    </row>
    <row r="127" spans="1:9" x14ac:dyDescent="0.3">
      <c r="A127" t="s">
        <v>351</v>
      </c>
      <c r="B127" s="1">
        <v>1208101047</v>
      </c>
      <c r="C127" t="str">
        <f>TRIM(SUBSTITUTE(B127,CHAR(160),""))</f>
        <v>1208101047</v>
      </c>
      <c r="D127" t="s">
        <v>352</v>
      </c>
      <c r="E127" t="s">
        <v>15</v>
      </c>
      <c r="F127" t="s">
        <v>30</v>
      </c>
      <c r="G127">
        <f>_xlfn.XLOOKUP(Table1[[#This Row],[MaterialCode]],cost[Item],cost[Unit Cost])</f>
        <v>28.346771199999999</v>
      </c>
      <c r="H127" t="str">
        <f>_xlfn.XLOOKUP(Table1[[#This Row],[MaterialCode]],cost[Item],cost[Unit])</f>
        <v>GR</v>
      </c>
    </row>
    <row r="128" spans="1:9" x14ac:dyDescent="0.3">
      <c r="A128" t="s">
        <v>385</v>
      </c>
      <c r="B128" s="1">
        <v>1208102020</v>
      </c>
      <c r="C128" t="str">
        <f>TRIM(SUBSTITUTE(B128,CHAR(160),""))</f>
        <v>1208102020</v>
      </c>
      <c r="D128" t="s">
        <v>386</v>
      </c>
      <c r="E128" t="s">
        <v>12</v>
      </c>
      <c r="F128" t="s">
        <v>30</v>
      </c>
      <c r="G128">
        <f>_xlfn.XLOOKUP(Table1[[#This Row],[MaterialCode]],cost[Item],cost[Unit Cost])</f>
        <v>26.773440000000001</v>
      </c>
      <c r="H128" t="str">
        <f>_xlfn.XLOOKUP(Table1[[#This Row],[MaterialCode]],cost[Item],cost[Unit])</f>
        <v>GR</v>
      </c>
    </row>
    <row r="129" spans="1:9" x14ac:dyDescent="0.3">
      <c r="A129" t="s">
        <v>353</v>
      </c>
      <c r="B129" s="1">
        <v>1208101044</v>
      </c>
      <c r="C129" t="str">
        <f>TRIM(SUBSTITUTE(B129,CHAR(160),""))</f>
        <v>1208101044</v>
      </c>
      <c r="D129" t="s">
        <v>354</v>
      </c>
      <c r="E129" t="s">
        <v>12</v>
      </c>
      <c r="F129" t="s">
        <v>30</v>
      </c>
      <c r="G129">
        <f>_xlfn.XLOOKUP(Table1[[#This Row],[MaterialCode]],cost[Item],cost[Unit Cost])</f>
        <v>26.32659456</v>
      </c>
      <c r="H129" t="str">
        <f>_xlfn.XLOOKUP(Table1[[#This Row],[MaterialCode]],cost[Item],cost[Unit])</f>
        <v>GR</v>
      </c>
    </row>
    <row r="130" spans="1:9" x14ac:dyDescent="0.3">
      <c r="A130" t="s">
        <v>355</v>
      </c>
      <c r="B130" s="1">
        <v>1208101013</v>
      </c>
      <c r="C130" t="str">
        <f>TRIM(SUBSTITUTE(B130,CHAR(160),""))</f>
        <v>1208101013</v>
      </c>
      <c r="D130" t="s">
        <v>356</v>
      </c>
      <c r="E130" t="s">
        <v>12</v>
      </c>
      <c r="F130" t="s">
        <v>30</v>
      </c>
      <c r="G130">
        <f>_xlfn.XLOOKUP(Table1[[#This Row],[MaterialCode]],cost[Item],cost[Unit Cost])</f>
        <v>26.32659456</v>
      </c>
      <c r="H130" t="str">
        <f>_xlfn.XLOOKUP(Table1[[#This Row],[MaterialCode]],cost[Item],cost[Unit])</f>
        <v>GR</v>
      </c>
    </row>
    <row r="131" spans="1:9" x14ac:dyDescent="0.3">
      <c r="A131" t="s">
        <v>280</v>
      </c>
      <c r="B131" s="1">
        <v>1205001020</v>
      </c>
      <c r="C131" t="str">
        <f>TRIM(SUBSTITUTE(B131,CHAR(160),""))</f>
        <v>1205001020</v>
      </c>
      <c r="D131" t="s">
        <v>281</v>
      </c>
      <c r="E131" t="s">
        <v>8</v>
      </c>
      <c r="F131" t="s">
        <v>23</v>
      </c>
      <c r="G131">
        <f>_xlfn.XLOOKUP(Table1[[#This Row],[MaterialCode]],cost[Item],cost[Unit Cost])</f>
        <v>25.960416242000001</v>
      </c>
      <c r="H131" t="str">
        <f>_xlfn.XLOOKUP(Table1[[#This Row],[MaterialCode]],cost[Item],cost[Unit])</f>
        <v>EA</v>
      </c>
    </row>
    <row r="132" spans="1:9" x14ac:dyDescent="0.3">
      <c r="A132" t="s">
        <v>282</v>
      </c>
      <c r="B132" s="1">
        <v>2405001033</v>
      </c>
      <c r="C132" t="str">
        <f>TRIM(SUBSTITUTE(B132,CHAR(160),""))</f>
        <v>2405001033</v>
      </c>
      <c r="D132" t="s">
        <v>283</v>
      </c>
      <c r="E132" t="s">
        <v>8</v>
      </c>
      <c r="F132" t="s">
        <v>23</v>
      </c>
      <c r="G132">
        <f>_xlfn.XLOOKUP(Table1[[#This Row],[MaterialCode]],cost[Item],cost[Unit Cost])</f>
        <v>25.96041</v>
      </c>
      <c r="H132" t="str">
        <f>_xlfn.XLOOKUP(Table1[[#This Row],[MaterialCode]],cost[Item],cost[Unit])</f>
        <v>EA</v>
      </c>
    </row>
    <row r="133" spans="1:9" x14ac:dyDescent="0.3">
      <c r="A133" t="s">
        <v>363</v>
      </c>
      <c r="B133" s="1">
        <v>1208101023</v>
      </c>
      <c r="C133" t="str">
        <f>TRIM(SUBSTITUTE(B133,CHAR(160),""))</f>
        <v>1208101023</v>
      </c>
      <c r="D133" t="s">
        <v>364</v>
      </c>
      <c r="E133" t="s">
        <v>12</v>
      </c>
      <c r="F133" t="s">
        <v>30</v>
      </c>
      <c r="G133">
        <f>_xlfn.XLOOKUP(Table1[[#This Row],[MaterialCode]],cost[Item],cost[Unit Cost])</f>
        <v>25.48704</v>
      </c>
      <c r="H133" t="str">
        <f>_xlfn.XLOOKUP(Table1[[#This Row],[MaterialCode]],cost[Item],cost[Unit])</f>
        <v>GR</v>
      </c>
    </row>
    <row r="134" spans="1:9" x14ac:dyDescent="0.3">
      <c r="A134" t="s">
        <v>371</v>
      </c>
      <c r="B134" s="1">
        <v>1208101039</v>
      </c>
      <c r="C134" t="str">
        <f>TRIM(SUBSTITUTE(B134,CHAR(160),""))</f>
        <v>1208101039</v>
      </c>
      <c r="D134" t="s">
        <v>372</v>
      </c>
      <c r="E134" t="s">
        <v>12</v>
      </c>
      <c r="F134" t="s">
        <v>30</v>
      </c>
      <c r="G134">
        <f>_xlfn.XLOOKUP(Table1[[#This Row],[MaterialCode]],cost[Item],cost[Unit Cost])</f>
        <v>25.48704</v>
      </c>
      <c r="H134" t="str">
        <f>_xlfn.XLOOKUP(Table1[[#This Row],[MaterialCode]],cost[Item],cost[Unit])</f>
        <v>GR</v>
      </c>
    </row>
    <row r="135" spans="1:9" x14ac:dyDescent="0.3">
      <c r="A135" t="s">
        <v>268</v>
      </c>
      <c r="B135" s="1">
        <v>1205001019</v>
      </c>
      <c r="C135" t="str">
        <f>TRIM(SUBSTITUTE(B135,CHAR(160),""))</f>
        <v>1205001019</v>
      </c>
      <c r="D135" t="s">
        <v>269</v>
      </c>
      <c r="E135" t="s">
        <v>8</v>
      </c>
      <c r="F135" t="s">
        <v>23</v>
      </c>
      <c r="G135">
        <f>_xlfn.XLOOKUP(Table1[[#This Row],[MaterialCode]],cost[Item],cost[Unit Cost])</f>
        <v>25.147820579000001</v>
      </c>
      <c r="H135" t="str">
        <f>_xlfn.XLOOKUP(Table1[[#This Row],[MaterialCode]],cost[Item],cost[Unit])</f>
        <v>EA</v>
      </c>
    </row>
    <row r="136" spans="1:9" x14ac:dyDescent="0.3">
      <c r="A136" t="s">
        <v>270</v>
      </c>
      <c r="B136" s="1">
        <v>2405001031</v>
      </c>
      <c r="C136" t="str">
        <f>TRIM(SUBSTITUTE(B136,CHAR(160),""))</f>
        <v>2405001031</v>
      </c>
      <c r="D136" t="s">
        <v>271</v>
      </c>
      <c r="E136" t="s">
        <v>8</v>
      </c>
      <c r="F136" t="s">
        <v>23</v>
      </c>
      <c r="G136">
        <f>_xlfn.XLOOKUP(Table1[[#This Row],[MaterialCode]],cost[Item],cost[Unit Cost])</f>
        <v>25.147819999999999</v>
      </c>
      <c r="H136" t="str">
        <f>_xlfn.XLOOKUP(Table1[[#This Row],[MaterialCode]],cost[Item],cost[Unit])</f>
        <v>EA</v>
      </c>
    </row>
    <row r="137" spans="1:9" x14ac:dyDescent="0.3">
      <c r="A137" t="s">
        <v>276</v>
      </c>
      <c r="B137" s="1">
        <v>1205001021</v>
      </c>
      <c r="C137" t="str">
        <f>TRIM(SUBSTITUTE(B137,CHAR(160),""))</f>
        <v>1205001021</v>
      </c>
      <c r="D137" t="s">
        <v>277</v>
      </c>
      <c r="E137" t="s">
        <v>8</v>
      </c>
      <c r="F137" t="s">
        <v>23</v>
      </c>
      <c r="G137">
        <f>_xlfn.XLOOKUP(Table1[[#This Row],[MaterialCode]],cost[Item],cost[Unit Cost])</f>
        <v>24.78</v>
      </c>
      <c r="H137" t="str">
        <f>_xlfn.XLOOKUP(Table1[[#This Row],[MaterialCode]],cost[Item],cost[Unit])</f>
        <v>EA</v>
      </c>
    </row>
    <row r="138" spans="1:9" x14ac:dyDescent="0.3">
      <c r="A138" t="s">
        <v>278</v>
      </c>
      <c r="B138" s="1">
        <v>2405001034</v>
      </c>
      <c r="C138" t="str">
        <f>TRIM(SUBSTITUTE(B138,CHAR(160),""))</f>
        <v>2405001034</v>
      </c>
      <c r="D138" t="s">
        <v>279</v>
      </c>
      <c r="E138" t="s">
        <v>8</v>
      </c>
      <c r="F138" t="s">
        <v>23</v>
      </c>
      <c r="G138">
        <f>_xlfn.XLOOKUP(Table1[[#This Row],[MaterialCode]],cost[Item],cost[Unit Cost])</f>
        <v>24.78</v>
      </c>
      <c r="H138" t="str">
        <f>_xlfn.XLOOKUP(Table1[[#This Row],[MaterialCode]],cost[Item],cost[Unit])</f>
        <v>EA</v>
      </c>
    </row>
    <row r="139" spans="1:9" x14ac:dyDescent="0.3">
      <c r="A139" t="s">
        <v>349</v>
      </c>
      <c r="B139" s="1">
        <v>1208101046</v>
      </c>
      <c r="C139" t="str">
        <f>TRIM(SUBSTITUTE(B139,CHAR(160),""))</f>
        <v>1208101046</v>
      </c>
      <c r="D139" t="s">
        <v>350</v>
      </c>
      <c r="E139" t="s">
        <v>12</v>
      </c>
      <c r="F139" t="s">
        <v>30</v>
      </c>
      <c r="G139">
        <f>_xlfn.XLOOKUP(Table1[[#This Row],[MaterialCode]],cost[Item],cost[Unit Cost])</f>
        <v>24.741356799999998</v>
      </c>
      <c r="H139" t="str">
        <f>_xlfn.XLOOKUP(Table1[[#This Row],[MaterialCode]],cost[Item],cost[Unit])</f>
        <v>GR</v>
      </c>
    </row>
    <row r="140" spans="1:9" x14ac:dyDescent="0.3">
      <c r="A140" t="s">
        <v>399</v>
      </c>
      <c r="B140" s="1" t="s">
        <v>400</v>
      </c>
      <c r="C140" t="str">
        <f>TRIM(SUBSTITUTE(B140,CHAR(160),""))</f>
        <v>YDW0074D</v>
      </c>
      <c r="D140" t="s">
        <v>401</v>
      </c>
      <c r="E140" t="s">
        <v>12</v>
      </c>
      <c r="F140" t="s">
        <v>30</v>
      </c>
      <c r="G140">
        <f>_xlfn.XLOOKUP(Table1[[#This Row],[MaterialCode]],cost[Item],cost[Unit Cost])</f>
        <v>23.1569771581289</v>
      </c>
      <c r="H140" t="str">
        <f>_xlfn.XLOOKUP(Table1[[#This Row],[MaterialCode]],cost[Item],cost[Unit])</f>
        <v>GR</v>
      </c>
    </row>
    <row r="141" spans="1:9" x14ac:dyDescent="0.3">
      <c r="A141" t="s">
        <v>402</v>
      </c>
      <c r="B141" s="1" t="s">
        <v>403</v>
      </c>
      <c r="C141" t="str">
        <f>TRIM(SUBSTITUTE(B141,CHAR(160),""))</f>
        <v>YDW133DR</v>
      </c>
      <c r="D141" t="s">
        <v>404</v>
      </c>
      <c r="E141" t="s">
        <v>12</v>
      </c>
      <c r="F141" t="s">
        <v>30</v>
      </c>
      <c r="G141">
        <f>_xlfn.XLOOKUP(Table1[[#This Row],[MaterialCode]],cost[Item],cost[Unit Cost])</f>
        <v>23.1569771581289</v>
      </c>
      <c r="H141" t="str">
        <f>_xlfn.XLOOKUP(Table1[[#This Row],[MaterialCode]],cost[Item],cost[Unit])</f>
        <v>GR</v>
      </c>
    </row>
    <row r="142" spans="1:9" x14ac:dyDescent="0.3">
      <c r="A142" t="s">
        <v>379</v>
      </c>
      <c r="B142" s="1">
        <v>1208101018</v>
      </c>
      <c r="C142" t="str">
        <f>TRIM(SUBSTITUTE(B142,CHAR(160),""))</f>
        <v>1208101018</v>
      </c>
      <c r="D142" t="s">
        <v>380</v>
      </c>
      <c r="E142" t="s">
        <v>12</v>
      </c>
      <c r="F142" t="s">
        <v>30</v>
      </c>
      <c r="G142">
        <f>_xlfn.XLOOKUP(Table1[[#This Row],[MaterialCode]],cost[Item],cost[Unit Cost])</f>
        <v>22.7744</v>
      </c>
      <c r="H142" t="str">
        <f>_xlfn.XLOOKUP(Table1[[#This Row],[MaterialCode]],cost[Item],cost[Unit])</f>
        <v>GR</v>
      </c>
    </row>
    <row r="143" spans="1:9" x14ac:dyDescent="0.3">
      <c r="A143" t="s">
        <v>361</v>
      </c>
      <c r="B143" s="1">
        <v>1208101050</v>
      </c>
      <c r="C143" t="str">
        <f>TRIM(SUBSTITUTE(B143,CHAR(160),""))</f>
        <v>1208101050</v>
      </c>
      <c r="D143" s="7" t="s">
        <v>362</v>
      </c>
      <c r="E143" s="7" t="s">
        <v>12</v>
      </c>
      <c r="F143" s="7" t="s">
        <v>30</v>
      </c>
      <c r="G143" s="7">
        <f>_xlfn.XLOOKUP(Table1[[#This Row],[MaterialCode]],cost[Item],cost[Unit Cost])</f>
        <v>22.278021500000001</v>
      </c>
      <c r="H143" s="7" t="str">
        <f>_xlfn.XLOOKUP(Table1[[#This Row],[MaterialCode]],cost[Item],cost[Unit])</f>
        <v>EA</v>
      </c>
      <c r="I143" s="7"/>
    </row>
    <row r="144" spans="1:9" x14ac:dyDescent="0.3">
      <c r="A144" t="s">
        <v>359</v>
      </c>
      <c r="B144" s="1">
        <v>1208101045</v>
      </c>
      <c r="C144" t="str">
        <f>TRIM(SUBSTITUTE(B144,CHAR(160),""))</f>
        <v>1208101045</v>
      </c>
      <c r="D144" t="s">
        <v>360</v>
      </c>
      <c r="E144" t="s">
        <v>12</v>
      </c>
      <c r="F144" t="s">
        <v>30</v>
      </c>
      <c r="G144">
        <f>_xlfn.XLOOKUP(Table1[[#This Row],[MaterialCode]],cost[Item],cost[Unit Cost])</f>
        <v>21.15142784</v>
      </c>
      <c r="H144" t="str">
        <f>_xlfn.XLOOKUP(Table1[[#This Row],[MaterialCode]],cost[Item],cost[Unit])</f>
        <v>GR</v>
      </c>
    </row>
    <row r="145" spans="1:8" x14ac:dyDescent="0.3">
      <c r="A145" t="s">
        <v>377</v>
      </c>
      <c r="B145" s="1">
        <v>1208101009</v>
      </c>
      <c r="C145" t="str">
        <f>TRIM(SUBSTITUTE(B145,CHAR(160),""))</f>
        <v>1208101009</v>
      </c>
      <c r="D145" t="s">
        <v>378</v>
      </c>
      <c r="E145" t="s">
        <v>12</v>
      </c>
      <c r="F145" t="s">
        <v>30</v>
      </c>
      <c r="G145">
        <f>_xlfn.XLOOKUP(Table1[[#This Row],[MaterialCode]],cost[Item],cost[Unit Cost])</f>
        <v>18.17088</v>
      </c>
      <c r="H145" t="str">
        <f>_xlfn.XLOOKUP(Table1[[#This Row],[MaterialCode]],cost[Item],cost[Unit])</f>
        <v>GR</v>
      </c>
    </row>
    <row r="146" spans="1:8" x14ac:dyDescent="0.3">
      <c r="A146" t="s">
        <v>375</v>
      </c>
      <c r="B146" s="1">
        <v>1208101035</v>
      </c>
      <c r="C146" t="str">
        <f>TRIM(SUBSTITUTE(B146,CHAR(160),""))</f>
        <v>1208101035</v>
      </c>
      <c r="D146" t="s">
        <v>376</v>
      </c>
      <c r="E146" t="s">
        <v>12</v>
      </c>
      <c r="F146" t="s">
        <v>30</v>
      </c>
      <c r="G146">
        <f>_xlfn.XLOOKUP(Table1[[#This Row],[MaterialCode]],cost[Item],cost[Unit Cost])</f>
        <v>17.89536</v>
      </c>
      <c r="H146" t="str">
        <f>_xlfn.XLOOKUP(Table1[[#This Row],[MaterialCode]],cost[Item],cost[Unit])</f>
        <v>GR</v>
      </c>
    </row>
    <row r="147" spans="1:8" x14ac:dyDescent="0.3">
      <c r="A147" t="s">
        <v>318</v>
      </c>
      <c r="B147" s="1">
        <v>1411990010</v>
      </c>
      <c r="C147" t="str">
        <f>TRIM(SUBSTITUTE(B147,CHAR(160),""))</f>
        <v>1411990010</v>
      </c>
      <c r="D147" t="s">
        <v>319</v>
      </c>
      <c r="E147" t="s">
        <v>8</v>
      </c>
      <c r="F147" t="s">
        <v>18</v>
      </c>
      <c r="G147">
        <f>_xlfn.XLOOKUP(Table1[[#This Row],[MaterialCode]],cost[Item],cost[Unit Cost])</f>
        <v>17.5</v>
      </c>
      <c r="H147" t="str">
        <f>_xlfn.XLOOKUP(Table1[[#This Row],[MaterialCode]],cost[Item],cost[Unit])</f>
        <v>EA</v>
      </c>
    </row>
    <row r="148" spans="1:8" x14ac:dyDescent="0.3">
      <c r="A148" t="s">
        <v>373</v>
      </c>
      <c r="B148" s="1">
        <v>1208101016</v>
      </c>
      <c r="C148" t="str">
        <f>TRIM(SUBSTITUTE(B148,CHAR(160),""))</f>
        <v>1208101016</v>
      </c>
      <c r="D148" t="s">
        <v>374</v>
      </c>
      <c r="E148" t="s">
        <v>12</v>
      </c>
      <c r="F148" t="s">
        <v>30</v>
      </c>
      <c r="G148">
        <f>_xlfn.XLOOKUP(Table1[[#This Row],[MaterialCode]],cost[Item],cost[Unit Cost])</f>
        <v>17.26688</v>
      </c>
      <c r="H148" t="str">
        <f>_xlfn.XLOOKUP(Table1[[#This Row],[MaterialCode]],cost[Item],cost[Unit])</f>
        <v>GR</v>
      </c>
    </row>
    <row r="149" spans="1:8" x14ac:dyDescent="0.3">
      <c r="A149" t="s">
        <v>219</v>
      </c>
      <c r="B149" s="1">
        <v>1401400028</v>
      </c>
      <c r="C149" t="str">
        <f>TRIM(SUBSTITUTE(B149,CHAR(160),""))</f>
        <v>1401400028</v>
      </c>
      <c r="D149" t="s">
        <v>220</v>
      </c>
      <c r="E149" t="s">
        <v>8</v>
      </c>
      <c r="F149" t="s">
        <v>18</v>
      </c>
      <c r="G149">
        <f>_xlfn.XLOOKUP(Table1[[#This Row],[MaterialCode]],cost[Item],cost[Unit Cost])</f>
        <v>17</v>
      </c>
      <c r="H149" t="str">
        <f>_xlfn.XLOOKUP(Table1[[#This Row],[MaterialCode]],cost[Item],cost[Unit])</f>
        <v>EA</v>
      </c>
    </row>
    <row r="150" spans="1:8" x14ac:dyDescent="0.3">
      <c r="A150" t="s">
        <v>221</v>
      </c>
      <c r="B150" s="1">
        <v>1401400024</v>
      </c>
      <c r="C150" t="str">
        <f>TRIM(SUBSTITUTE(B150,CHAR(160),""))</f>
        <v>1401400024</v>
      </c>
      <c r="D150" t="s">
        <v>222</v>
      </c>
      <c r="E150" t="s">
        <v>8</v>
      </c>
      <c r="F150" t="s">
        <v>18</v>
      </c>
      <c r="G150">
        <f>_xlfn.XLOOKUP(Table1[[#This Row],[MaterialCode]],cost[Item],cost[Unit Cost])</f>
        <v>17</v>
      </c>
      <c r="H150" t="str">
        <f>_xlfn.XLOOKUP(Table1[[#This Row],[MaterialCode]],cost[Item],cost[Unit])</f>
        <v>EA</v>
      </c>
    </row>
    <row r="151" spans="1:8" x14ac:dyDescent="0.3">
      <c r="A151" t="s">
        <v>223</v>
      </c>
      <c r="B151" s="1">
        <v>1401400009</v>
      </c>
      <c r="C151" t="str">
        <f>TRIM(SUBSTITUTE(B151,CHAR(160),""))</f>
        <v>1401400009</v>
      </c>
      <c r="D151" t="s">
        <v>224</v>
      </c>
      <c r="E151" t="s">
        <v>8</v>
      </c>
      <c r="F151" t="s">
        <v>9</v>
      </c>
      <c r="G151">
        <f>_xlfn.XLOOKUP(Table1[[#This Row],[MaterialCode]],cost[Item],cost[Unit Cost])</f>
        <v>17</v>
      </c>
      <c r="H151" t="str">
        <f>_xlfn.XLOOKUP(Table1[[#This Row],[MaterialCode]],cost[Item],cost[Unit])</f>
        <v>EA</v>
      </c>
    </row>
    <row r="152" spans="1:8" x14ac:dyDescent="0.3">
      <c r="A152" t="s">
        <v>225</v>
      </c>
      <c r="B152" s="1">
        <v>1401400009</v>
      </c>
      <c r="C152" t="str">
        <f>TRIM(SUBSTITUTE(B152,CHAR(160),""))</f>
        <v>1401400009</v>
      </c>
      <c r="D152" t="s">
        <v>224</v>
      </c>
      <c r="E152" t="s">
        <v>8</v>
      </c>
      <c r="F152" t="s">
        <v>16</v>
      </c>
      <c r="G152">
        <f>_xlfn.XLOOKUP(Table1[[#This Row],[MaterialCode]],cost[Item],cost[Unit Cost])</f>
        <v>17</v>
      </c>
      <c r="H152" t="str">
        <f>_xlfn.XLOOKUP(Table1[[#This Row],[MaterialCode]],cost[Item],cost[Unit])</f>
        <v>EA</v>
      </c>
    </row>
    <row r="153" spans="1:8" x14ac:dyDescent="0.3">
      <c r="A153" t="s">
        <v>226</v>
      </c>
      <c r="B153" s="1">
        <v>1401400017</v>
      </c>
      <c r="C153" t="str">
        <f>TRIM(SUBSTITUTE(B153,CHAR(160),""))</f>
        <v>1401400017</v>
      </c>
      <c r="D153" t="s">
        <v>227</v>
      </c>
      <c r="E153" t="s">
        <v>8</v>
      </c>
      <c r="F153" t="s">
        <v>21</v>
      </c>
      <c r="G153">
        <f>_xlfn.XLOOKUP(Table1[[#This Row],[MaterialCode]],cost[Item],cost[Unit Cost])</f>
        <v>17</v>
      </c>
      <c r="H153" t="str">
        <f>_xlfn.XLOOKUP(Table1[[#This Row],[MaterialCode]],cost[Item],cost[Unit])</f>
        <v>EA</v>
      </c>
    </row>
    <row r="154" spans="1:8" x14ac:dyDescent="0.3">
      <c r="A154" t="s">
        <v>381</v>
      </c>
      <c r="B154" s="1">
        <v>1208102003</v>
      </c>
      <c r="C154" t="str">
        <f>TRIM(SUBSTITUTE(B154,CHAR(160),""))</f>
        <v>1208102003</v>
      </c>
      <c r="D154" t="s">
        <v>382</v>
      </c>
      <c r="E154" t="s">
        <v>12</v>
      </c>
      <c r="F154" t="s">
        <v>30</v>
      </c>
      <c r="G154">
        <f>_xlfn.XLOOKUP(Table1[[#This Row],[MaterialCode]],cost[Item],cost[Unit Cost])</f>
        <v>16.036809600000002</v>
      </c>
      <c r="H154" t="str">
        <f>_xlfn.XLOOKUP(Table1[[#This Row],[MaterialCode]],cost[Item],cost[Unit])</f>
        <v>GR</v>
      </c>
    </row>
    <row r="155" spans="1:8" x14ac:dyDescent="0.3">
      <c r="A155" t="s">
        <v>383</v>
      </c>
      <c r="B155" s="1">
        <v>1208102015</v>
      </c>
      <c r="C155" t="str">
        <f>TRIM(SUBSTITUTE(B155,CHAR(160),""))</f>
        <v>1208102015</v>
      </c>
      <c r="D155" t="s">
        <v>384</v>
      </c>
      <c r="E155" t="s">
        <v>12</v>
      </c>
      <c r="F155" t="s">
        <v>30</v>
      </c>
      <c r="G155">
        <f>_xlfn.XLOOKUP(Table1[[#This Row],[MaterialCode]],cost[Item],cost[Unit Cost])</f>
        <v>15.8043456</v>
      </c>
      <c r="H155" t="str">
        <f>_xlfn.XLOOKUP(Table1[[#This Row],[MaterialCode]],cost[Item],cost[Unit])</f>
        <v>GR</v>
      </c>
    </row>
    <row r="156" spans="1:8" x14ac:dyDescent="0.3">
      <c r="A156" t="s">
        <v>387</v>
      </c>
      <c r="B156" s="1">
        <v>1208102005</v>
      </c>
      <c r="C156" t="str">
        <f>TRIM(SUBSTITUTE(B156,CHAR(160),""))</f>
        <v>1208102005</v>
      </c>
      <c r="D156" t="s">
        <v>388</v>
      </c>
      <c r="E156" t="s">
        <v>12</v>
      </c>
      <c r="F156" t="s">
        <v>30</v>
      </c>
      <c r="G156">
        <f>_xlfn.XLOOKUP(Table1[[#This Row],[MaterialCode]],cost[Item],cost[Unit Cost])</f>
        <v>15.8043456</v>
      </c>
      <c r="H156" t="str">
        <f>_xlfn.XLOOKUP(Table1[[#This Row],[MaterialCode]],cost[Item],cost[Unit])</f>
        <v>GR</v>
      </c>
    </row>
    <row r="157" spans="1:8" x14ac:dyDescent="0.3">
      <c r="A157" t="s">
        <v>389</v>
      </c>
      <c r="B157" s="1">
        <v>1208102018</v>
      </c>
      <c r="C157" t="str">
        <f>TRIM(SUBSTITUTE(B157,CHAR(160),""))</f>
        <v>1208102018</v>
      </c>
      <c r="D157" t="s">
        <v>390</v>
      </c>
      <c r="E157" t="s">
        <v>12</v>
      </c>
      <c r="F157" t="s">
        <v>30</v>
      </c>
      <c r="G157">
        <f>_xlfn.XLOOKUP(Table1[[#This Row],[MaterialCode]],cost[Item],cost[Unit Cost])</f>
        <v>15.8043456</v>
      </c>
      <c r="H157" t="str">
        <f>_xlfn.XLOOKUP(Table1[[#This Row],[MaterialCode]],cost[Item],cost[Unit])</f>
        <v>GR</v>
      </c>
    </row>
    <row r="158" spans="1:8" x14ac:dyDescent="0.3">
      <c r="A158" t="s">
        <v>391</v>
      </c>
      <c r="B158" s="1">
        <v>1208102017</v>
      </c>
      <c r="C158" t="str">
        <f>TRIM(SUBSTITUTE(B158,CHAR(160),""))</f>
        <v>1208102017</v>
      </c>
      <c r="D158" t="s">
        <v>392</v>
      </c>
      <c r="E158" t="s">
        <v>12</v>
      </c>
      <c r="F158" t="s">
        <v>30</v>
      </c>
      <c r="G158">
        <f>_xlfn.XLOOKUP(Table1[[#This Row],[MaterialCode]],cost[Item],cost[Unit Cost])</f>
        <v>15.8043456</v>
      </c>
      <c r="H158" t="str">
        <f>_xlfn.XLOOKUP(Table1[[#This Row],[MaterialCode]],cost[Item],cost[Unit])</f>
        <v>GR</v>
      </c>
    </row>
    <row r="159" spans="1:8" x14ac:dyDescent="0.3">
      <c r="A159" t="s">
        <v>393</v>
      </c>
      <c r="B159" s="1">
        <v>1208102016</v>
      </c>
      <c r="C159" t="str">
        <f>TRIM(SUBSTITUTE(B159,CHAR(160),""))</f>
        <v>1208102016</v>
      </c>
      <c r="D159" t="s">
        <v>394</v>
      </c>
      <c r="E159" t="s">
        <v>12</v>
      </c>
      <c r="F159" t="s">
        <v>30</v>
      </c>
      <c r="G159">
        <f>_xlfn.XLOOKUP(Table1[[#This Row],[MaterialCode]],cost[Item],cost[Unit Cost])</f>
        <v>15.8043456</v>
      </c>
      <c r="H159" t="str">
        <f>_xlfn.XLOOKUP(Table1[[#This Row],[MaterialCode]],cost[Item],cost[Unit])</f>
        <v>GR</v>
      </c>
    </row>
    <row r="160" spans="1:8" x14ac:dyDescent="0.3">
      <c r="A160" t="s">
        <v>300</v>
      </c>
      <c r="B160" s="1">
        <v>1205000004</v>
      </c>
      <c r="C160" t="str">
        <f>TRIM(SUBSTITUTE(B160,CHAR(160),""))</f>
        <v>1205000004</v>
      </c>
      <c r="D160" t="s">
        <v>301</v>
      </c>
      <c r="E160" t="s">
        <v>8</v>
      </c>
      <c r="F160" t="s">
        <v>21</v>
      </c>
      <c r="G160">
        <f>_xlfn.XLOOKUP(Table1[[#This Row],[MaterialCode]],cost[Item],cost[Unit Cost])</f>
        <v>11.593301133000001</v>
      </c>
      <c r="H160" t="str">
        <f>_xlfn.XLOOKUP(Table1[[#This Row],[MaterialCode]],cost[Item],cost[Unit])</f>
        <v>EA</v>
      </c>
    </row>
    <row r="161" spans="1:8" x14ac:dyDescent="0.3">
      <c r="A161" t="s">
        <v>302</v>
      </c>
      <c r="B161" s="1">
        <v>2405000028</v>
      </c>
      <c r="C161" t="str">
        <f>TRIM(SUBSTITUTE(B161,CHAR(160),""))</f>
        <v>2405000028</v>
      </c>
      <c r="D161" t="s">
        <v>303</v>
      </c>
      <c r="E161" t="s">
        <v>8</v>
      </c>
      <c r="F161" t="s">
        <v>21</v>
      </c>
      <c r="G161">
        <f>_xlfn.XLOOKUP(Table1[[#This Row],[MaterialCode]],cost[Item],cost[Unit Cost])</f>
        <v>11.593299999999999</v>
      </c>
      <c r="H161" t="str">
        <f>_xlfn.XLOOKUP(Table1[[#This Row],[MaterialCode]],cost[Item],cost[Unit])</f>
        <v>EA</v>
      </c>
    </row>
    <row r="162" spans="1:8" x14ac:dyDescent="0.3">
      <c r="A162" t="s">
        <v>294</v>
      </c>
      <c r="B162" s="1">
        <v>2405001027</v>
      </c>
      <c r="C162" t="str">
        <f>TRIM(SUBSTITUTE(B162,CHAR(160),""))</f>
        <v>2405001027</v>
      </c>
      <c r="D162" t="s">
        <v>295</v>
      </c>
      <c r="E162" t="s">
        <v>8</v>
      </c>
      <c r="F162" t="s">
        <v>21</v>
      </c>
      <c r="G162">
        <f>_xlfn.XLOOKUP(Table1[[#This Row],[MaterialCode]],cost[Item],cost[Unit Cost])</f>
        <v>10.23969</v>
      </c>
      <c r="H162" t="str">
        <f>_xlfn.XLOOKUP(Table1[[#This Row],[MaterialCode]],cost[Item],cost[Unit])</f>
        <v>EA</v>
      </c>
    </row>
    <row r="163" spans="1:8" x14ac:dyDescent="0.3">
      <c r="A163" t="s">
        <v>292</v>
      </c>
      <c r="B163" s="1">
        <v>1205001015</v>
      </c>
      <c r="C163" t="str">
        <f>TRIM(SUBSTITUTE(B163,CHAR(160),""))</f>
        <v>1205001015</v>
      </c>
      <c r="D163" t="s">
        <v>293</v>
      </c>
      <c r="E163" t="s">
        <v>8</v>
      </c>
      <c r="F163" t="s">
        <v>21</v>
      </c>
      <c r="G163">
        <f>_xlfn.XLOOKUP(Table1[[#This Row],[MaterialCode]],cost[Item],cost[Unit Cost])</f>
        <v>10.239683431</v>
      </c>
      <c r="H163" t="str">
        <f>_xlfn.XLOOKUP(Table1[[#This Row],[MaterialCode]],cost[Item],cost[Unit])</f>
        <v>EA</v>
      </c>
    </row>
    <row r="164" spans="1:8" x14ac:dyDescent="0.3">
      <c r="A164" t="s">
        <v>187</v>
      </c>
      <c r="B164" s="1">
        <v>1401902034</v>
      </c>
      <c r="C164" t="str">
        <f>TRIM(SUBSTITUTE(B164,CHAR(160),""))</f>
        <v>1401902034</v>
      </c>
      <c r="D164" t="s">
        <v>188</v>
      </c>
      <c r="E164" t="s">
        <v>8</v>
      </c>
      <c r="F164" t="s">
        <v>9</v>
      </c>
      <c r="G164">
        <f>_xlfn.XLOOKUP(Table1[[#This Row],[MaterialCode]],cost[Item],cost[Unit Cost])</f>
        <v>10.17</v>
      </c>
      <c r="H164" t="str">
        <f>_xlfn.XLOOKUP(Table1[[#This Row],[MaterialCode]],cost[Item],cost[Unit])</f>
        <v>EA</v>
      </c>
    </row>
    <row r="165" spans="1:8" x14ac:dyDescent="0.3">
      <c r="A165" t="s">
        <v>239</v>
      </c>
      <c r="B165" s="1">
        <v>1401990016</v>
      </c>
      <c r="C165" t="str">
        <f>TRIM(SUBSTITUTE(B165,CHAR(160),""))</f>
        <v>1401990016</v>
      </c>
      <c r="D165" t="s">
        <v>240</v>
      </c>
      <c r="E165" t="s">
        <v>8</v>
      </c>
      <c r="F165" t="s">
        <v>41</v>
      </c>
      <c r="G165">
        <f>_xlfn.XLOOKUP(Table1[[#This Row],[MaterialCode]],cost[Item],cost[Unit Cost])</f>
        <v>10</v>
      </c>
      <c r="H165" t="str">
        <f>_xlfn.XLOOKUP(Table1[[#This Row],[MaterialCode]],cost[Item],cost[Unit])</f>
        <v>PR</v>
      </c>
    </row>
    <row r="166" spans="1:8" x14ac:dyDescent="0.3">
      <c r="A166" t="s">
        <v>241</v>
      </c>
      <c r="B166" s="1">
        <v>1401990016</v>
      </c>
      <c r="C166" t="str">
        <f>TRIM(SUBSTITUTE(B166,CHAR(160),""))</f>
        <v>1401990016</v>
      </c>
      <c r="D166" t="s">
        <v>240</v>
      </c>
      <c r="E166" t="s">
        <v>8</v>
      </c>
      <c r="F166" t="s">
        <v>18</v>
      </c>
      <c r="G166">
        <f>_xlfn.XLOOKUP(Table1[[#This Row],[MaterialCode]],cost[Item],cost[Unit Cost])</f>
        <v>10</v>
      </c>
      <c r="H166" t="str">
        <f>_xlfn.XLOOKUP(Table1[[#This Row],[MaterialCode]],cost[Item],cost[Unit])</f>
        <v>PR</v>
      </c>
    </row>
    <row r="167" spans="1:8" x14ac:dyDescent="0.3">
      <c r="A167" t="s">
        <v>242</v>
      </c>
      <c r="B167" s="1">
        <v>1401990017</v>
      </c>
      <c r="C167" t="str">
        <f>TRIM(SUBSTITUTE(B167,CHAR(160),""))</f>
        <v>1401990017</v>
      </c>
      <c r="D167" t="s">
        <v>243</v>
      </c>
      <c r="E167" t="s">
        <v>8</v>
      </c>
      <c r="F167" t="s">
        <v>41</v>
      </c>
      <c r="G167">
        <f>_xlfn.XLOOKUP(Table1[[#This Row],[MaterialCode]],cost[Item],cost[Unit Cost])</f>
        <v>10</v>
      </c>
      <c r="H167" t="str">
        <f>_xlfn.XLOOKUP(Table1[[#This Row],[MaterialCode]],cost[Item],cost[Unit])</f>
        <v>PR</v>
      </c>
    </row>
    <row r="168" spans="1:8" x14ac:dyDescent="0.3">
      <c r="A168" t="s">
        <v>244</v>
      </c>
      <c r="B168" s="1">
        <v>1401990017</v>
      </c>
      <c r="C168" t="str">
        <f>TRIM(SUBSTITUTE(B168,CHAR(160),""))</f>
        <v>1401990017</v>
      </c>
      <c r="D168" t="s">
        <v>243</v>
      </c>
      <c r="E168" t="s">
        <v>8</v>
      </c>
      <c r="F168" t="s">
        <v>18</v>
      </c>
      <c r="G168">
        <f>_xlfn.XLOOKUP(Table1[[#This Row],[MaterialCode]],cost[Item],cost[Unit Cost])</f>
        <v>10</v>
      </c>
      <c r="H168" t="str">
        <f>_xlfn.XLOOKUP(Table1[[#This Row],[MaterialCode]],cost[Item],cost[Unit])</f>
        <v>PR</v>
      </c>
    </row>
    <row r="169" spans="1:8" x14ac:dyDescent="0.3">
      <c r="A169" t="s">
        <v>272</v>
      </c>
      <c r="B169" s="1">
        <v>1205001018</v>
      </c>
      <c r="C169" t="str">
        <f>TRIM(SUBSTITUTE(B169,CHAR(160),""))</f>
        <v>1205001018</v>
      </c>
      <c r="D169" t="s">
        <v>273</v>
      </c>
      <c r="E169" t="s">
        <v>8</v>
      </c>
      <c r="F169" t="s">
        <v>23</v>
      </c>
      <c r="G169">
        <f>_xlfn.XLOOKUP(Table1[[#This Row],[MaterialCode]],cost[Item],cost[Unit Cost])</f>
        <v>9.9986029789999993</v>
      </c>
      <c r="H169" t="str">
        <f>_xlfn.XLOOKUP(Table1[[#This Row],[MaterialCode]],cost[Item],cost[Unit])</f>
        <v>EA</v>
      </c>
    </row>
    <row r="170" spans="1:8" x14ac:dyDescent="0.3">
      <c r="A170" t="s">
        <v>284</v>
      </c>
      <c r="B170" s="1">
        <v>1205000007</v>
      </c>
      <c r="C170" t="str">
        <f>TRIM(SUBSTITUTE(B170,CHAR(160),""))</f>
        <v>1205000007</v>
      </c>
      <c r="D170" t="s">
        <v>285</v>
      </c>
      <c r="E170" t="s">
        <v>8</v>
      </c>
      <c r="F170" t="s">
        <v>23</v>
      </c>
      <c r="G170">
        <f>_xlfn.XLOOKUP(Table1[[#This Row],[MaterialCode]],cost[Item],cost[Unit Cost])</f>
        <v>9.9986029789999993</v>
      </c>
      <c r="H170" t="str">
        <f>_xlfn.XLOOKUP(Table1[[#This Row],[MaterialCode]],cost[Item],cost[Unit])</f>
        <v>EA</v>
      </c>
    </row>
    <row r="171" spans="1:8" x14ac:dyDescent="0.3">
      <c r="A171" t="s">
        <v>274</v>
      </c>
      <c r="B171" s="1">
        <v>2405001030</v>
      </c>
      <c r="C171" t="str">
        <f>TRIM(SUBSTITUTE(B171,CHAR(160),""))</f>
        <v>2405001030</v>
      </c>
      <c r="D171" t="s">
        <v>275</v>
      </c>
      <c r="E171" t="s">
        <v>8</v>
      </c>
      <c r="F171" t="s">
        <v>23</v>
      </c>
      <c r="G171">
        <f>_xlfn.XLOOKUP(Table1[[#This Row],[MaterialCode]],cost[Item],cost[Unit Cost])</f>
        <v>9.9985999999999997</v>
      </c>
      <c r="H171" t="str">
        <f>_xlfn.XLOOKUP(Table1[[#This Row],[MaterialCode]],cost[Item],cost[Unit])</f>
        <v>EA</v>
      </c>
    </row>
    <row r="172" spans="1:8" x14ac:dyDescent="0.3">
      <c r="A172" t="s">
        <v>286</v>
      </c>
      <c r="B172" s="1">
        <v>2405001026</v>
      </c>
      <c r="C172" t="str">
        <f>TRIM(SUBSTITUTE(B172,CHAR(160),""))</f>
        <v>2405001026</v>
      </c>
      <c r="D172" t="s">
        <v>287</v>
      </c>
      <c r="E172" t="s">
        <v>8</v>
      </c>
      <c r="F172" t="s">
        <v>23</v>
      </c>
      <c r="G172">
        <f>_xlfn.XLOOKUP(Table1[[#This Row],[MaterialCode]],cost[Item],cost[Unit Cost])</f>
        <v>9.9985999999999997</v>
      </c>
      <c r="H172" t="str">
        <f>_xlfn.XLOOKUP(Table1[[#This Row],[MaterialCode]],cost[Item],cost[Unit])</f>
        <v>EA</v>
      </c>
    </row>
    <row r="173" spans="1:8" x14ac:dyDescent="0.3">
      <c r="A173" t="s">
        <v>108</v>
      </c>
      <c r="B173" s="1">
        <v>1401990006</v>
      </c>
      <c r="C173" t="str">
        <f>TRIM(SUBSTITUTE(B173,CHAR(160),""))</f>
        <v>1401990006</v>
      </c>
      <c r="D173" t="s">
        <v>109</v>
      </c>
      <c r="E173" t="s">
        <v>8</v>
      </c>
      <c r="F173" t="s">
        <v>41</v>
      </c>
      <c r="G173">
        <f>_xlfn.XLOOKUP(Table1[[#This Row],[MaterialCode]],cost[Item],cost[Unit Cost])</f>
        <v>9.86</v>
      </c>
      <c r="H173" t="str">
        <f>_xlfn.XLOOKUP(Table1[[#This Row],[MaterialCode]],cost[Item],cost[Unit])</f>
        <v>EA</v>
      </c>
    </row>
    <row r="174" spans="1:8" x14ac:dyDescent="0.3">
      <c r="A174" t="s">
        <v>236</v>
      </c>
      <c r="B174" s="1">
        <v>1401990015</v>
      </c>
      <c r="C174" t="str">
        <f>TRIM(SUBSTITUTE(B174,CHAR(160),""))</f>
        <v>1401990015</v>
      </c>
      <c r="D174" t="s">
        <v>237</v>
      </c>
      <c r="E174" t="s">
        <v>8</v>
      </c>
      <c r="F174" t="s">
        <v>41</v>
      </c>
      <c r="G174">
        <f>_xlfn.XLOOKUP(Table1[[#This Row],[MaterialCode]],cost[Item],cost[Unit Cost])</f>
        <v>8.5</v>
      </c>
      <c r="H174" t="str">
        <f>_xlfn.XLOOKUP(Table1[[#This Row],[MaterialCode]],cost[Item],cost[Unit])</f>
        <v>PR</v>
      </c>
    </row>
    <row r="175" spans="1:8" x14ac:dyDescent="0.3">
      <c r="A175" t="s">
        <v>238</v>
      </c>
      <c r="B175" s="1">
        <v>1401990015</v>
      </c>
      <c r="C175" t="str">
        <f>TRIM(SUBSTITUTE(B175,CHAR(160),""))</f>
        <v>1401990015</v>
      </c>
      <c r="D175" t="s">
        <v>237</v>
      </c>
      <c r="E175" t="s">
        <v>8</v>
      </c>
      <c r="F175" t="s">
        <v>18</v>
      </c>
      <c r="G175">
        <f>_xlfn.XLOOKUP(Table1[[#This Row],[MaterialCode]],cost[Item],cost[Unit Cost])</f>
        <v>8.5</v>
      </c>
      <c r="H175" t="str">
        <f>_xlfn.XLOOKUP(Table1[[#This Row],[MaterialCode]],cost[Item],cost[Unit])</f>
        <v>PR</v>
      </c>
    </row>
    <row r="176" spans="1:8" x14ac:dyDescent="0.3">
      <c r="A176" t="s">
        <v>215</v>
      </c>
      <c r="B176" s="1">
        <v>1201500042</v>
      </c>
      <c r="C176" t="str">
        <f>TRIM(SUBSTITUTE(B176,CHAR(160),""))</f>
        <v>1201500042</v>
      </c>
      <c r="D176" t="s">
        <v>216</v>
      </c>
      <c r="E176" t="s">
        <v>8</v>
      </c>
      <c r="F176" t="s">
        <v>23</v>
      </c>
      <c r="G176">
        <f>_xlfn.XLOOKUP(Table1[[#This Row],[MaterialCode]],cost[Item],cost[Unit Cost])</f>
        <v>8.3334033759999997</v>
      </c>
      <c r="H176" t="str">
        <f>_xlfn.XLOOKUP(Table1[[#This Row],[MaterialCode]],cost[Item],cost[Unit])</f>
        <v>EA</v>
      </c>
    </row>
    <row r="177" spans="1:9" x14ac:dyDescent="0.3">
      <c r="A177" t="s">
        <v>347</v>
      </c>
      <c r="B177" s="1">
        <v>1401400015</v>
      </c>
      <c r="C177" t="str">
        <f>TRIM(SUBSTITUTE(B177,CHAR(160),""))</f>
        <v>1401400015</v>
      </c>
      <c r="D177" t="s">
        <v>348</v>
      </c>
      <c r="E177" t="s">
        <v>8</v>
      </c>
      <c r="F177" t="s">
        <v>18</v>
      </c>
      <c r="G177">
        <f>_xlfn.XLOOKUP(Table1[[#This Row],[MaterialCode]],cost[Item],cost[Unit Cost])</f>
        <v>7.25</v>
      </c>
      <c r="H177" t="str">
        <f>_xlfn.XLOOKUP(Table1[[#This Row],[MaterialCode]],cost[Item],cost[Unit])</f>
        <v>EA</v>
      </c>
    </row>
    <row r="178" spans="1:9" x14ac:dyDescent="0.3">
      <c r="A178" t="s">
        <v>199</v>
      </c>
      <c r="B178" s="1">
        <v>1401902033</v>
      </c>
      <c r="C178" t="str">
        <f>TRIM(SUBSTITUTE(B178,CHAR(160),""))</f>
        <v>1401902033</v>
      </c>
      <c r="D178" t="s">
        <v>200</v>
      </c>
      <c r="E178" t="s">
        <v>8</v>
      </c>
      <c r="F178" t="s">
        <v>9</v>
      </c>
      <c r="G178">
        <f>_xlfn.XLOOKUP(Table1[[#This Row],[MaterialCode]],cost[Item],cost[Unit Cost])</f>
        <v>7.08</v>
      </c>
      <c r="H178" t="str">
        <f>_xlfn.XLOOKUP(Table1[[#This Row],[MaterialCode]],cost[Item],cost[Unit])</f>
        <v>EA</v>
      </c>
    </row>
    <row r="179" spans="1:9" x14ac:dyDescent="0.3">
      <c r="A179" t="s">
        <v>197</v>
      </c>
      <c r="B179" s="1">
        <v>1401902032</v>
      </c>
      <c r="C179" t="str">
        <f>TRIM(SUBSTITUTE(B179,CHAR(160),""))</f>
        <v>1401902032</v>
      </c>
      <c r="D179" t="s">
        <v>198</v>
      </c>
      <c r="E179" t="s">
        <v>8</v>
      </c>
      <c r="F179" t="s">
        <v>16</v>
      </c>
      <c r="G179">
        <f>_xlfn.XLOOKUP(Table1[[#This Row],[MaterialCode]],cost[Item],cost[Unit Cost])</f>
        <v>6.54</v>
      </c>
      <c r="H179" t="str">
        <f>_xlfn.XLOOKUP(Table1[[#This Row],[MaterialCode]],cost[Item],cost[Unit])</f>
        <v>EA</v>
      </c>
    </row>
    <row r="180" spans="1:9" x14ac:dyDescent="0.3">
      <c r="A180" t="s">
        <v>262</v>
      </c>
      <c r="B180" s="1">
        <v>2405001022</v>
      </c>
      <c r="C180" t="str">
        <f>TRIM(SUBSTITUTE(B180,CHAR(160),""))</f>
        <v>2405001022</v>
      </c>
      <c r="D180" t="s">
        <v>263</v>
      </c>
      <c r="E180" t="s">
        <v>8</v>
      </c>
      <c r="F180" t="s">
        <v>18</v>
      </c>
      <c r="G180">
        <f>_xlfn.XLOOKUP(Table1[[#This Row],[MaterialCode]],cost[Item],cost[Unit Cost])</f>
        <v>5.4503500000000003</v>
      </c>
      <c r="H180" t="str">
        <f>_xlfn.XLOOKUP(Table1[[#This Row],[MaterialCode]],cost[Item],cost[Unit])</f>
        <v>EA</v>
      </c>
    </row>
    <row r="181" spans="1:9" x14ac:dyDescent="0.3">
      <c r="A181" t="s">
        <v>264</v>
      </c>
      <c r="B181" s="1">
        <v>2405001024</v>
      </c>
      <c r="C181" t="str">
        <f>TRIM(SUBSTITUTE(B181,CHAR(160),""))</f>
        <v>2405001024</v>
      </c>
      <c r="D181" t="s">
        <v>265</v>
      </c>
      <c r="E181" t="s">
        <v>8</v>
      </c>
      <c r="F181" t="s">
        <v>18</v>
      </c>
      <c r="G181">
        <f>_xlfn.XLOOKUP(Table1[[#This Row],[MaterialCode]],cost[Item],cost[Unit Cost])</f>
        <v>5.4503500000000003</v>
      </c>
      <c r="H181" t="str">
        <f>_xlfn.XLOOKUP(Table1[[#This Row],[MaterialCode]],cost[Item],cost[Unit])</f>
        <v>EA</v>
      </c>
    </row>
    <row r="182" spans="1:9" x14ac:dyDescent="0.3">
      <c r="A182" t="s">
        <v>266</v>
      </c>
      <c r="B182" s="1">
        <v>2405001023</v>
      </c>
      <c r="C182" t="str">
        <f>TRIM(SUBSTITUTE(B182,CHAR(160),""))</f>
        <v>2405001023</v>
      </c>
      <c r="D182" t="s">
        <v>267</v>
      </c>
      <c r="E182" t="s">
        <v>8</v>
      </c>
      <c r="F182" t="s">
        <v>18</v>
      </c>
      <c r="G182">
        <f>_xlfn.XLOOKUP(Table1[[#This Row],[MaterialCode]],cost[Item],cost[Unit Cost])</f>
        <v>5.4503500000000003</v>
      </c>
      <c r="H182" t="str">
        <f>_xlfn.XLOOKUP(Table1[[#This Row],[MaterialCode]],cost[Item],cost[Unit])</f>
        <v>EA</v>
      </c>
    </row>
    <row r="183" spans="1:9" x14ac:dyDescent="0.3">
      <c r="A183" t="s">
        <v>193</v>
      </c>
      <c r="B183" s="1">
        <v>1401902031</v>
      </c>
      <c r="C183" t="str">
        <f>TRIM(SUBSTITUTE(B183,CHAR(160),""))</f>
        <v>1401902031</v>
      </c>
      <c r="D183" t="s">
        <v>194</v>
      </c>
      <c r="E183" t="s">
        <v>8</v>
      </c>
      <c r="F183" t="s">
        <v>9</v>
      </c>
      <c r="G183">
        <f>_xlfn.XLOOKUP(Table1[[#This Row],[MaterialCode]],cost[Item],cost[Unit Cost])</f>
        <v>5.25</v>
      </c>
      <c r="H183" t="str">
        <f>_xlfn.XLOOKUP(Table1[[#This Row],[MaterialCode]],cost[Item],cost[Unit])</f>
        <v>EA</v>
      </c>
    </row>
    <row r="184" spans="1:9" x14ac:dyDescent="0.3">
      <c r="A184" t="s">
        <v>195</v>
      </c>
      <c r="B184" s="1">
        <v>1401902031</v>
      </c>
      <c r="C184" t="str">
        <f>TRIM(SUBSTITUTE(B184,CHAR(160),""))</f>
        <v>1401902031</v>
      </c>
      <c r="D184" t="s">
        <v>194</v>
      </c>
      <c r="E184" t="s">
        <v>8</v>
      </c>
      <c r="F184" t="s">
        <v>16</v>
      </c>
      <c r="G184">
        <f>_xlfn.XLOOKUP(Table1[[#This Row],[MaterialCode]],cost[Item],cost[Unit Cost])</f>
        <v>5.25</v>
      </c>
      <c r="H184" t="str">
        <f>_xlfn.XLOOKUP(Table1[[#This Row],[MaterialCode]],cost[Item],cost[Unit])</f>
        <v>EA</v>
      </c>
    </row>
    <row r="185" spans="1:9" x14ac:dyDescent="0.3">
      <c r="A185" t="s">
        <v>196</v>
      </c>
      <c r="B185" s="1">
        <v>1401902031</v>
      </c>
      <c r="C185" t="str">
        <f>TRIM(SUBSTITUTE(B185,CHAR(160),""))</f>
        <v>1401902031</v>
      </c>
      <c r="D185" t="s">
        <v>194</v>
      </c>
      <c r="E185" t="s">
        <v>8</v>
      </c>
      <c r="F185" t="s">
        <v>18</v>
      </c>
      <c r="G185">
        <f>_xlfn.XLOOKUP(Table1[[#This Row],[MaterialCode]],cost[Item],cost[Unit Cost])</f>
        <v>5.25</v>
      </c>
      <c r="H185" t="str">
        <f>_xlfn.XLOOKUP(Table1[[#This Row],[MaterialCode]],cost[Item],cost[Unit])</f>
        <v>EA</v>
      </c>
    </row>
    <row r="186" spans="1:9" x14ac:dyDescent="0.3">
      <c r="A186" t="s">
        <v>251</v>
      </c>
      <c r="B186" s="1">
        <v>1201701006</v>
      </c>
      <c r="C186" t="str">
        <f>TRIM(SUBSTITUTE(B186,CHAR(160),""))</f>
        <v>1201701006</v>
      </c>
      <c r="D186" t="s">
        <v>252</v>
      </c>
      <c r="E186" t="s">
        <v>8</v>
      </c>
      <c r="F186" t="s">
        <v>16</v>
      </c>
      <c r="G186">
        <f>_xlfn.XLOOKUP(Table1[[#This Row],[MaterialCode]],cost[Item],cost[Unit Cost])</f>
        <v>5.0999999999999996</v>
      </c>
      <c r="H186" t="str">
        <f>_xlfn.XLOOKUP(Table1[[#This Row],[MaterialCode]],cost[Item],cost[Unit])</f>
        <v>EA</v>
      </c>
    </row>
    <row r="187" spans="1:9" x14ac:dyDescent="0.3">
      <c r="A187" t="s">
        <v>253</v>
      </c>
      <c r="B187" s="1">
        <v>1201701006</v>
      </c>
      <c r="C187" t="str">
        <f>TRIM(SUBSTITUTE(B187,CHAR(160),""))</f>
        <v>1201701006</v>
      </c>
      <c r="D187" t="s">
        <v>252</v>
      </c>
      <c r="E187" t="s">
        <v>8</v>
      </c>
      <c r="F187" t="s">
        <v>18</v>
      </c>
      <c r="G187">
        <f>_xlfn.XLOOKUP(Table1[[#This Row],[MaterialCode]],cost[Item],cost[Unit Cost])</f>
        <v>5.0999999999999996</v>
      </c>
      <c r="H187" t="str">
        <f>_xlfn.XLOOKUP(Table1[[#This Row],[MaterialCode]],cost[Item],cost[Unit])</f>
        <v>EA</v>
      </c>
    </row>
    <row r="188" spans="1:9" x14ac:dyDescent="0.3">
      <c r="A188" t="s">
        <v>191</v>
      </c>
      <c r="B188" s="1">
        <v>1401902030</v>
      </c>
      <c r="C188" t="str">
        <f>TRIM(SUBSTITUTE(B188,CHAR(160),""))</f>
        <v>1401902030</v>
      </c>
      <c r="D188" t="s">
        <v>192</v>
      </c>
      <c r="E188" t="s">
        <v>8</v>
      </c>
      <c r="F188" t="s">
        <v>18</v>
      </c>
      <c r="G188">
        <f>_xlfn.XLOOKUP(Table1[[#This Row],[MaterialCode]],cost[Item],cost[Unit Cost])</f>
        <v>4.8499999999999996</v>
      </c>
      <c r="H188" t="str">
        <f>_xlfn.XLOOKUP(Table1[[#This Row],[MaterialCode]],cost[Item],cost[Unit])</f>
        <v>EA</v>
      </c>
    </row>
    <row r="189" spans="1:9" x14ac:dyDescent="0.3">
      <c r="A189" t="s">
        <v>10</v>
      </c>
      <c r="B189" s="1">
        <v>1201702030</v>
      </c>
      <c r="C189" t="str">
        <f>TRIM(SUBSTITUTE(B189,CHAR(160),""))</f>
        <v>1201702030</v>
      </c>
      <c r="D189" s="7" t="s">
        <v>11</v>
      </c>
      <c r="E189" s="7" t="s">
        <v>12</v>
      </c>
      <c r="F189" s="7" t="s">
        <v>9</v>
      </c>
      <c r="G189" s="7">
        <f>_xlfn.XLOOKUP(Table1[[#This Row],[MaterialCode]],cost[Item],cost[Unit Cost])</f>
        <v>4.45</v>
      </c>
      <c r="H189" s="7" t="str">
        <f>_xlfn.XLOOKUP(Table1[[#This Row],[MaterialCode]],cost[Item],cost[Unit])</f>
        <v>MTR</v>
      </c>
      <c r="I189" s="7"/>
    </row>
    <row r="190" spans="1:9" x14ac:dyDescent="0.3">
      <c r="A190" t="s">
        <v>189</v>
      </c>
      <c r="B190" s="1">
        <v>1401902036</v>
      </c>
      <c r="C190" t="str">
        <f>TRIM(SUBSTITUTE(B190,CHAR(160),""))</f>
        <v>1401902036</v>
      </c>
      <c r="D190" t="s">
        <v>190</v>
      </c>
      <c r="E190" t="s">
        <v>8</v>
      </c>
      <c r="F190" t="s">
        <v>18</v>
      </c>
      <c r="G190">
        <f>_xlfn.XLOOKUP(Table1[[#This Row],[MaterialCode]],cost[Item],cost[Unit Cost])</f>
        <v>4.3899999999999997</v>
      </c>
      <c r="H190" t="str">
        <f>_xlfn.XLOOKUP(Table1[[#This Row],[MaterialCode]],cost[Item],cost[Unit])</f>
        <v>EA</v>
      </c>
    </row>
    <row r="191" spans="1:9" x14ac:dyDescent="0.3">
      <c r="A191" t="s">
        <v>228</v>
      </c>
      <c r="B191" s="1">
        <v>1401400007</v>
      </c>
      <c r="C191" t="str">
        <f>TRIM(SUBSTITUTE(B191,CHAR(160),""))</f>
        <v>1401400007</v>
      </c>
      <c r="D191" t="s">
        <v>229</v>
      </c>
      <c r="E191" t="s">
        <v>8</v>
      </c>
      <c r="F191" t="s">
        <v>18</v>
      </c>
      <c r="G191">
        <f>_xlfn.XLOOKUP(Table1[[#This Row],[MaterialCode]],cost[Item],cost[Unit Cost])</f>
        <v>4.2</v>
      </c>
      <c r="H191" t="str">
        <f>_xlfn.XLOOKUP(Table1[[#This Row],[MaterialCode]],cost[Item],cost[Unit])</f>
        <v>EA</v>
      </c>
    </row>
    <row r="192" spans="1:9" x14ac:dyDescent="0.3">
      <c r="A192" t="s">
        <v>326</v>
      </c>
      <c r="B192" s="1">
        <v>1401904017</v>
      </c>
      <c r="C192" t="str">
        <f>TRIM(SUBSTITUTE(B192,CHAR(160),""))</f>
        <v>1401904017</v>
      </c>
      <c r="D192" t="s">
        <v>327</v>
      </c>
      <c r="E192" t="s">
        <v>8</v>
      </c>
      <c r="F192" t="s">
        <v>9</v>
      </c>
      <c r="G192">
        <f>_xlfn.XLOOKUP(Table1[[#This Row],[MaterialCode]],cost[Item],cost[Unit Cost])</f>
        <v>3.3654129020000001</v>
      </c>
      <c r="H192" t="str">
        <f>_xlfn.XLOOKUP(Table1[[#This Row],[MaterialCode]],cost[Item],cost[Unit])</f>
        <v>EA</v>
      </c>
    </row>
    <row r="193" spans="1:8" x14ac:dyDescent="0.3">
      <c r="A193" t="s">
        <v>55</v>
      </c>
      <c r="B193" s="1">
        <v>1401990064</v>
      </c>
      <c r="C193" t="str">
        <f>TRIM(SUBSTITUTE(B193,CHAR(160),""))</f>
        <v>1401990064</v>
      </c>
      <c r="D193" t="s">
        <v>56</v>
      </c>
      <c r="E193" t="s">
        <v>8</v>
      </c>
      <c r="F193" t="s">
        <v>18</v>
      </c>
      <c r="G193">
        <f>_xlfn.XLOOKUP(Table1[[#This Row],[MaterialCode]],cost[Item],cost[Unit Cost])</f>
        <v>3</v>
      </c>
      <c r="H193" t="str">
        <f>_xlfn.XLOOKUP(Table1[[#This Row],[MaterialCode]],cost[Item],cost[Unit])</f>
        <v>EA</v>
      </c>
    </row>
    <row r="194" spans="1:8" x14ac:dyDescent="0.3">
      <c r="A194" t="s">
        <v>110</v>
      </c>
      <c r="B194" s="1">
        <v>1401990011</v>
      </c>
      <c r="C194" t="str">
        <f>TRIM(SUBSTITUTE(B194,CHAR(160),""))</f>
        <v>1401990011</v>
      </c>
      <c r="D194" t="s">
        <v>111</v>
      </c>
      <c r="E194" t="s">
        <v>8</v>
      </c>
      <c r="F194" t="s">
        <v>16</v>
      </c>
      <c r="G194">
        <f>_xlfn.XLOOKUP(Table1[[#This Row],[MaterialCode]],cost[Item],cost[Unit Cost])</f>
        <v>2.25</v>
      </c>
      <c r="H194" t="str">
        <f>_xlfn.XLOOKUP(Table1[[#This Row],[MaterialCode]],cost[Item],cost[Unit])</f>
        <v>EA</v>
      </c>
    </row>
    <row r="195" spans="1:8" x14ac:dyDescent="0.3">
      <c r="A195" t="s">
        <v>112</v>
      </c>
      <c r="B195" s="1">
        <v>1401990011</v>
      </c>
      <c r="C195" t="str">
        <f>TRIM(SUBSTITUTE(B195,CHAR(160),""))</f>
        <v>1401990011</v>
      </c>
      <c r="D195" t="s">
        <v>111</v>
      </c>
      <c r="E195" t="s">
        <v>8</v>
      </c>
      <c r="F195" t="s">
        <v>18</v>
      </c>
      <c r="G195">
        <f>_xlfn.XLOOKUP(Table1[[#This Row],[MaterialCode]],cost[Item],cost[Unit Cost])</f>
        <v>2.25</v>
      </c>
      <c r="H195" t="str">
        <f>_xlfn.XLOOKUP(Table1[[#This Row],[MaterialCode]],cost[Item],cost[Unit])</f>
        <v>EA</v>
      </c>
    </row>
    <row r="196" spans="1:8" x14ac:dyDescent="0.3">
      <c r="A196" t="s">
        <v>119</v>
      </c>
      <c r="B196" s="1">
        <v>1201702034</v>
      </c>
      <c r="C196" t="str">
        <f>TRIM(SUBSTITUTE(B196,CHAR(160),""))</f>
        <v>1201702034</v>
      </c>
      <c r="D196" t="s">
        <v>120</v>
      </c>
      <c r="E196" t="s">
        <v>36</v>
      </c>
      <c r="F196" t="s">
        <v>21</v>
      </c>
      <c r="G196">
        <f>_xlfn.XLOOKUP(Table1[[#This Row],[MaterialCode]],cost[Item],cost[Unit Cost])</f>
        <v>2.2400000000000002</v>
      </c>
      <c r="H196" t="str">
        <f>_xlfn.XLOOKUP(Table1[[#This Row],[MaterialCode]],cost[Item],cost[Unit])</f>
        <v>MTR</v>
      </c>
    </row>
    <row r="197" spans="1:8" x14ac:dyDescent="0.3">
      <c r="A197" t="s">
        <v>127</v>
      </c>
      <c r="B197" s="1">
        <v>1201702033</v>
      </c>
      <c r="C197" t="str">
        <f>TRIM(SUBSTITUTE(B197,CHAR(160),""))</f>
        <v>1201702033</v>
      </c>
      <c r="D197" t="s">
        <v>128</v>
      </c>
      <c r="E197" t="s">
        <v>36</v>
      </c>
      <c r="F197" t="s">
        <v>21</v>
      </c>
      <c r="G197">
        <f>_xlfn.XLOOKUP(Table1[[#This Row],[MaterialCode]],cost[Item],cost[Unit Cost])</f>
        <v>2.2400000000000002</v>
      </c>
      <c r="H197" t="str">
        <f>_xlfn.XLOOKUP(Table1[[#This Row],[MaterialCode]],cost[Item],cost[Unit])</f>
        <v>MTR</v>
      </c>
    </row>
    <row r="198" spans="1:8" x14ac:dyDescent="0.3">
      <c r="A198" t="s">
        <v>123</v>
      </c>
      <c r="B198" s="1">
        <v>1201704004</v>
      </c>
      <c r="C198" t="str">
        <f>TRIM(SUBSTITUTE(B198,CHAR(160),""))</f>
        <v>1201704004</v>
      </c>
      <c r="D198" t="s">
        <v>124</v>
      </c>
      <c r="E198" t="s">
        <v>36</v>
      </c>
      <c r="F198" t="s">
        <v>18</v>
      </c>
      <c r="G198">
        <f>_xlfn.XLOOKUP(Table1[[#This Row],[MaterialCode]],cost[Item],cost[Unit Cost])</f>
        <v>2.1440000000000001</v>
      </c>
      <c r="H198" t="str">
        <f>_xlfn.XLOOKUP(Table1[[#This Row],[MaterialCode]],cost[Item],cost[Unit])</f>
        <v>MTR</v>
      </c>
    </row>
    <row r="199" spans="1:8" x14ac:dyDescent="0.3">
      <c r="A199" t="s">
        <v>125</v>
      </c>
      <c r="B199" s="1">
        <v>1201702032</v>
      </c>
      <c r="C199" t="str">
        <f>TRIM(SUBSTITUTE(B199,CHAR(160),""))</f>
        <v>1201702032</v>
      </c>
      <c r="D199" t="s">
        <v>126</v>
      </c>
      <c r="E199" t="s">
        <v>36</v>
      </c>
      <c r="F199" t="s">
        <v>21</v>
      </c>
      <c r="G199">
        <f>_xlfn.XLOOKUP(Table1[[#This Row],[MaterialCode]],cost[Item],cost[Unit Cost])</f>
        <v>1.792</v>
      </c>
      <c r="H199" t="str">
        <f>_xlfn.XLOOKUP(Table1[[#This Row],[MaterialCode]],cost[Item],cost[Unit])</f>
        <v>MTR</v>
      </c>
    </row>
    <row r="200" spans="1:8" x14ac:dyDescent="0.3">
      <c r="A200" t="s">
        <v>129</v>
      </c>
      <c r="B200" s="1">
        <v>1201702018</v>
      </c>
      <c r="C200" t="str">
        <f>TRIM(SUBSTITUTE(B200,CHAR(160),""))</f>
        <v>1201702018</v>
      </c>
      <c r="D200" t="s">
        <v>130</v>
      </c>
      <c r="E200" t="s">
        <v>36</v>
      </c>
      <c r="F200" t="s">
        <v>23</v>
      </c>
      <c r="G200">
        <f>_xlfn.XLOOKUP(Table1[[#This Row],[MaterialCode]],cost[Item],cost[Unit Cost])</f>
        <v>1.792</v>
      </c>
      <c r="H200" t="str">
        <f>_xlfn.XLOOKUP(Table1[[#This Row],[MaterialCode]],cost[Item],cost[Unit])</f>
        <v>MTR</v>
      </c>
    </row>
    <row r="201" spans="1:8" x14ac:dyDescent="0.3">
      <c r="A201" t="s">
        <v>131</v>
      </c>
      <c r="B201" s="1">
        <v>1201702018</v>
      </c>
      <c r="C201" t="str">
        <f>TRIM(SUBSTITUTE(B201,CHAR(160),""))</f>
        <v>1201702018</v>
      </c>
      <c r="D201" t="s">
        <v>130</v>
      </c>
      <c r="E201" t="s">
        <v>36</v>
      </c>
      <c r="F201" t="s">
        <v>18</v>
      </c>
      <c r="G201">
        <f>_xlfn.XLOOKUP(Table1[[#This Row],[MaterialCode]],cost[Item],cost[Unit Cost])</f>
        <v>1.792</v>
      </c>
      <c r="H201" t="str">
        <f>_xlfn.XLOOKUP(Table1[[#This Row],[MaterialCode]],cost[Item],cost[Unit])</f>
        <v>MTR</v>
      </c>
    </row>
    <row r="202" spans="1:8" x14ac:dyDescent="0.3">
      <c r="A202" t="s">
        <v>134</v>
      </c>
      <c r="B202" s="1">
        <v>1201702005</v>
      </c>
      <c r="C202" t="str">
        <f>TRIM(SUBSTITUTE(B202,CHAR(160),""))</f>
        <v>1201702005</v>
      </c>
      <c r="D202" t="s">
        <v>135</v>
      </c>
      <c r="E202" t="s">
        <v>36</v>
      </c>
      <c r="F202" t="s">
        <v>18</v>
      </c>
      <c r="G202">
        <f>_xlfn.XLOOKUP(Table1[[#This Row],[MaterialCode]],cost[Item],cost[Unit Cost])</f>
        <v>1.47888</v>
      </c>
      <c r="H202" t="str">
        <f>_xlfn.XLOOKUP(Table1[[#This Row],[MaterialCode]],cost[Item],cost[Unit])</f>
        <v>MTR</v>
      </c>
    </row>
    <row r="203" spans="1:8" x14ac:dyDescent="0.3">
      <c r="A203" t="s">
        <v>121</v>
      </c>
      <c r="B203" s="1">
        <v>1201702001</v>
      </c>
      <c r="C203" t="str">
        <f>TRIM(SUBSTITUTE(B203,CHAR(160),""))</f>
        <v>1201702001</v>
      </c>
      <c r="D203" t="s">
        <v>122</v>
      </c>
      <c r="E203" t="s">
        <v>36</v>
      </c>
      <c r="F203" t="s">
        <v>16</v>
      </c>
      <c r="G203">
        <f>_xlfn.XLOOKUP(Table1[[#This Row],[MaterialCode]],cost[Item],cost[Unit Cost])</f>
        <v>1.4006636800000001</v>
      </c>
      <c r="H203" t="str">
        <f>_xlfn.XLOOKUP(Table1[[#This Row],[MaterialCode]],cost[Item],cost[Unit])</f>
        <v>MTR</v>
      </c>
    </row>
    <row r="204" spans="1:8" x14ac:dyDescent="0.3">
      <c r="A204" t="s">
        <v>132</v>
      </c>
      <c r="B204" s="1">
        <v>1201702035</v>
      </c>
      <c r="C204" t="str">
        <f>TRIM(SUBSTITUTE(B204,CHAR(160),""))</f>
        <v>1201702035</v>
      </c>
      <c r="D204" t="s">
        <v>133</v>
      </c>
      <c r="E204" t="s">
        <v>36</v>
      </c>
      <c r="F204" t="s">
        <v>18</v>
      </c>
      <c r="G204">
        <f>_xlfn.XLOOKUP(Table1[[#This Row],[MaterialCode]],cost[Item],cost[Unit Cost])</f>
        <v>1.3344</v>
      </c>
      <c r="H204" t="str">
        <f>_xlfn.XLOOKUP(Table1[[#This Row],[MaterialCode]],cost[Item],cost[Unit])</f>
        <v>MTR</v>
      </c>
    </row>
    <row r="205" spans="1:8" x14ac:dyDescent="0.3">
      <c r="A205" t="s">
        <v>117</v>
      </c>
      <c r="B205" s="1">
        <v>1201703004</v>
      </c>
      <c r="C205" t="str">
        <f>TRIM(SUBSTITUTE(B205,CHAR(160),""))</f>
        <v>1201703004</v>
      </c>
      <c r="D205" t="s">
        <v>118</v>
      </c>
      <c r="E205" t="s">
        <v>36</v>
      </c>
      <c r="F205" t="s">
        <v>9</v>
      </c>
      <c r="G205">
        <f>_xlfn.XLOOKUP(Table1[[#This Row],[MaterialCode]],cost[Item],cost[Unit Cost])</f>
        <v>0.55868799999999996</v>
      </c>
      <c r="H205" t="str">
        <f>_xlfn.XLOOKUP(Table1[[#This Row],[MaterialCode]],cost[Item],cost[Unit])</f>
        <v>MTR</v>
      </c>
    </row>
    <row r="206" spans="1:8" x14ac:dyDescent="0.3">
      <c r="A206" t="s">
        <v>183</v>
      </c>
      <c r="B206" s="1">
        <v>1206001001</v>
      </c>
      <c r="C206" t="str">
        <f>TRIM(SUBSTITUTE(B206,CHAR(160),""))</f>
        <v>1206001001</v>
      </c>
      <c r="D206" t="s">
        <v>184</v>
      </c>
      <c r="E206" t="s">
        <v>8</v>
      </c>
      <c r="F206" t="s">
        <v>9</v>
      </c>
      <c r="G206">
        <f>_xlfn.XLOOKUP(Table1[[#This Row],[MaterialCode]],cost[Item],cost[Unit Cost])</f>
        <v>0.53277066900000003</v>
      </c>
      <c r="H206" t="str">
        <f>_xlfn.XLOOKUP(Table1[[#This Row],[MaterialCode]],cost[Item],cost[Unit])</f>
        <v>EA</v>
      </c>
    </row>
    <row r="207" spans="1:8" x14ac:dyDescent="0.3">
      <c r="A207" t="s">
        <v>176</v>
      </c>
      <c r="B207" s="1">
        <v>1206001003</v>
      </c>
      <c r="C207" t="str">
        <f>TRIM(SUBSTITUTE(B207,CHAR(160),""))</f>
        <v>1206001003</v>
      </c>
      <c r="D207" t="s">
        <v>177</v>
      </c>
      <c r="E207" t="s">
        <v>8</v>
      </c>
      <c r="F207" t="s">
        <v>9</v>
      </c>
      <c r="G207">
        <f>_xlfn.XLOOKUP(Table1[[#This Row],[MaterialCode]],cost[Item],cost[Unit Cost])</f>
        <v>0.487164545</v>
      </c>
      <c r="H207" t="str">
        <f>_xlfn.XLOOKUP(Table1[[#This Row],[MaterialCode]],cost[Item],cost[Unit])</f>
        <v>EA</v>
      </c>
    </row>
    <row r="208" spans="1:8" x14ac:dyDescent="0.3">
      <c r="A208" t="s">
        <v>113</v>
      </c>
      <c r="B208" s="1">
        <v>1201703006</v>
      </c>
      <c r="C208" t="str">
        <f>TRIM(SUBSTITUTE(B208,CHAR(160),""))</f>
        <v>1201703006</v>
      </c>
      <c r="D208" t="s">
        <v>114</v>
      </c>
      <c r="E208" t="s">
        <v>36</v>
      </c>
      <c r="F208" t="s">
        <v>21</v>
      </c>
      <c r="G208">
        <f>_xlfn.XLOOKUP(Table1[[#This Row],[MaterialCode]],cost[Item],cost[Unit Cost])</f>
        <v>0.41</v>
      </c>
      <c r="H208" t="str">
        <f>_xlfn.XLOOKUP(Table1[[#This Row],[MaterialCode]],cost[Item],cost[Unit])</f>
        <v>MTR</v>
      </c>
    </row>
    <row r="209" spans="1:8" x14ac:dyDescent="0.3">
      <c r="A209" t="s">
        <v>115</v>
      </c>
      <c r="B209" s="1">
        <v>1201703006</v>
      </c>
      <c r="C209" t="str">
        <f>TRIM(SUBSTITUTE(B209,CHAR(160),""))</f>
        <v>1201703006</v>
      </c>
      <c r="D209" t="s">
        <v>114</v>
      </c>
      <c r="E209" t="s">
        <v>36</v>
      </c>
      <c r="F209" t="s">
        <v>16</v>
      </c>
      <c r="G209">
        <f>_xlfn.XLOOKUP(Table1[[#This Row],[MaterialCode]],cost[Item],cost[Unit Cost])</f>
        <v>0.41</v>
      </c>
      <c r="H209" t="str">
        <f>_xlfn.XLOOKUP(Table1[[#This Row],[MaterialCode]],cost[Item],cost[Unit])</f>
        <v>MTR</v>
      </c>
    </row>
    <row r="210" spans="1:8" x14ac:dyDescent="0.3">
      <c r="A210" t="s">
        <v>116</v>
      </c>
      <c r="B210" s="1">
        <v>1201703006</v>
      </c>
      <c r="C210" t="str">
        <f>TRIM(SUBSTITUTE(B210,CHAR(160),""))</f>
        <v>1201703006</v>
      </c>
      <c r="D210" t="s">
        <v>114</v>
      </c>
      <c r="E210" t="s">
        <v>36</v>
      </c>
      <c r="F210" t="s">
        <v>18</v>
      </c>
      <c r="G210">
        <f>_xlfn.XLOOKUP(Table1[[#This Row],[MaterialCode]],cost[Item],cost[Unit Cost])</f>
        <v>0.41</v>
      </c>
      <c r="H210" t="str">
        <f>_xlfn.XLOOKUP(Table1[[#This Row],[MaterialCode]],cost[Item],cost[Unit])</f>
        <v>MTR</v>
      </c>
    </row>
    <row r="211" spans="1:8" x14ac:dyDescent="0.3">
      <c r="A211" t="s">
        <v>345</v>
      </c>
      <c r="B211" s="1">
        <v>1401901003</v>
      </c>
      <c r="C211" t="str">
        <f>TRIM(SUBSTITUTE(B211,CHAR(160),""))</f>
        <v>1401901003</v>
      </c>
      <c r="D211" t="s">
        <v>346</v>
      </c>
      <c r="E211" t="s">
        <v>8</v>
      </c>
      <c r="F211" t="s">
        <v>18</v>
      </c>
      <c r="G211">
        <f>_xlfn.XLOOKUP(Table1[[#This Row],[MaterialCode]],cost[Item],cost[Unit Cost])</f>
        <v>0.35</v>
      </c>
      <c r="H211" t="str">
        <f>_xlfn.XLOOKUP(Table1[[#This Row],[MaterialCode]],cost[Item],cost[Unit])</f>
        <v>EA</v>
      </c>
    </row>
    <row r="212" spans="1:8" x14ac:dyDescent="0.3">
      <c r="A212" t="s">
        <v>174</v>
      </c>
      <c r="B212" s="1">
        <v>1206001002</v>
      </c>
      <c r="C212" t="str">
        <f>TRIM(SUBSTITUTE(B212,CHAR(160),""))</f>
        <v>1206001002</v>
      </c>
      <c r="D212" t="s">
        <v>175</v>
      </c>
      <c r="E212" t="s">
        <v>8</v>
      </c>
      <c r="F212" t="s">
        <v>9</v>
      </c>
      <c r="G212">
        <f>_xlfn.XLOOKUP(Table1[[#This Row],[MaterialCode]],cost[Item],cost[Unit Cost])</f>
        <v>0.30124423900000002</v>
      </c>
      <c r="H212" t="str">
        <f>_xlfn.XLOOKUP(Table1[[#This Row],[MaterialCode]],cost[Item],cost[Unit])</f>
        <v>EA</v>
      </c>
    </row>
    <row r="213" spans="1:8" x14ac:dyDescent="0.3">
      <c r="A213" t="s">
        <v>168</v>
      </c>
      <c r="B213" s="1">
        <v>1401990007</v>
      </c>
      <c r="C213" t="str">
        <f>TRIM(SUBSTITUTE(B213,CHAR(160),""))</f>
        <v>1401990007</v>
      </c>
      <c r="D213" t="s">
        <v>169</v>
      </c>
      <c r="E213" t="s">
        <v>8</v>
      </c>
      <c r="F213" t="s">
        <v>18</v>
      </c>
      <c r="G213">
        <f>_xlfn.XLOOKUP(Table1[[#This Row],[MaterialCode]],cost[Item],cost[Unit Cost])</f>
        <v>0.21597</v>
      </c>
      <c r="H213" t="str">
        <f>_xlfn.XLOOKUP(Table1[[#This Row],[MaterialCode]],cost[Item],cost[Unit])</f>
        <v>EA</v>
      </c>
    </row>
    <row r="214" spans="1:8" x14ac:dyDescent="0.3">
      <c r="A214" t="s">
        <v>170</v>
      </c>
      <c r="B214" s="1">
        <v>1401990005</v>
      </c>
      <c r="C214" t="str">
        <f>TRIM(SUBSTITUTE(B214,CHAR(160),""))</f>
        <v>1401990005</v>
      </c>
      <c r="D214" t="s">
        <v>171</v>
      </c>
      <c r="E214" t="s">
        <v>8</v>
      </c>
      <c r="F214" t="s">
        <v>18</v>
      </c>
      <c r="G214">
        <f>_xlfn.XLOOKUP(Table1[[#This Row],[MaterialCode]],cost[Item],cost[Unit Cost])</f>
        <v>0.21597</v>
      </c>
      <c r="H214" t="str">
        <f>_xlfn.XLOOKUP(Table1[[#This Row],[MaterialCode]],cost[Item],cost[Unit])</f>
        <v>EA</v>
      </c>
    </row>
    <row r="215" spans="1:8" x14ac:dyDescent="0.3">
      <c r="A215" t="s">
        <v>6</v>
      </c>
      <c r="B215" s="1">
        <v>1205000006</v>
      </c>
      <c r="C215" t="str">
        <f>TRIM(SUBSTITUTE(B215,CHAR(160),""))</f>
        <v>1205000006</v>
      </c>
      <c r="D215" t="s">
        <v>7</v>
      </c>
      <c r="E215" t="s">
        <v>8</v>
      </c>
      <c r="F215" t="s">
        <v>9</v>
      </c>
      <c r="G215">
        <f>_xlfn.XLOOKUP(Table1[[#This Row],[MaterialCode]],cost[Item],cost[Unit Cost])</f>
        <v>6.6315893000000001E-2</v>
      </c>
      <c r="H215" t="str">
        <f>_xlfn.XLOOKUP(Table1[[#This Row],[MaterialCode]],cost[Item],cost[Unit])</f>
        <v>EA</v>
      </c>
    </row>
  </sheetData>
  <phoneticPr fontId="2" type="noConversion"/>
  <conditionalFormatting sqref="A2:C215">
    <cfRule type="duplicateValues" dxfId="1" priority="1"/>
  </conditionalFormatting>
  <conditionalFormatting sqref="D2:D215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35CA-1011-454C-8FDE-72738465DFB6}">
  <dimension ref="A1:F2707"/>
  <sheetViews>
    <sheetView workbookViewId="0">
      <selection activeCell="A555" sqref="A555"/>
    </sheetView>
  </sheetViews>
  <sheetFormatPr defaultColWidth="10.77734375" defaultRowHeight="14.5" x14ac:dyDescent="0.35"/>
  <cols>
    <col min="1" max="1" width="36" style="2" bestFit="1" customWidth="1"/>
    <col min="2" max="2" width="36" style="6" customWidth="1"/>
    <col min="3" max="3" width="7.5546875" style="6" customWidth="1"/>
    <col min="4" max="4" width="14.44140625" style="4" bestFit="1" customWidth="1"/>
    <col min="5" max="5" width="14.44140625" style="4" hidden="1" customWidth="1"/>
    <col min="6" max="6" width="19.21875" style="4" hidden="1" customWidth="1"/>
    <col min="7" max="16384" width="10.77734375" style="5"/>
  </cols>
  <sheetData>
    <row r="1" spans="1:6" x14ac:dyDescent="0.35">
      <c r="A1" s="2" t="s">
        <v>426</v>
      </c>
      <c r="B1" s="2" t="s">
        <v>427</v>
      </c>
      <c r="C1" s="2" t="s">
        <v>4</v>
      </c>
      <c r="D1" s="3" t="s">
        <v>428</v>
      </c>
      <c r="E1" s="4" t="s">
        <v>429</v>
      </c>
      <c r="F1" s="4" t="s">
        <v>430</v>
      </c>
    </row>
    <row r="2" spans="1:6" x14ac:dyDescent="0.35">
      <c r="A2" s="2">
        <v>1201200001</v>
      </c>
      <c r="B2" s="6" t="s">
        <v>335</v>
      </c>
      <c r="C2" s="2" t="s">
        <v>15</v>
      </c>
      <c r="D2" s="4">
        <v>268.84527559000003</v>
      </c>
      <c r="E2" s="4">
        <v>251.25726689999999</v>
      </c>
      <c r="F2" s="4">
        <v>17.588008689999999</v>
      </c>
    </row>
    <row r="3" spans="1:6" x14ac:dyDescent="0.35">
      <c r="A3" s="2">
        <v>1201200005</v>
      </c>
      <c r="B3" s="6" t="s">
        <v>431</v>
      </c>
      <c r="C3" s="2" t="s">
        <v>432</v>
      </c>
      <c r="D3" s="4">
        <v>380</v>
      </c>
      <c r="E3" s="4">
        <v>380</v>
      </c>
      <c r="F3" s="4">
        <v>0</v>
      </c>
    </row>
    <row r="4" spans="1:6" x14ac:dyDescent="0.35">
      <c r="A4" s="2">
        <v>1201201001</v>
      </c>
      <c r="B4" s="6" t="s">
        <v>433</v>
      </c>
      <c r="C4" s="2" t="s">
        <v>432</v>
      </c>
      <c r="D4" s="4">
        <v>125</v>
      </c>
      <c r="E4" s="4">
        <v>125</v>
      </c>
      <c r="F4" s="4">
        <v>0</v>
      </c>
    </row>
    <row r="5" spans="1:6" x14ac:dyDescent="0.35">
      <c r="A5" s="2">
        <v>1201201002</v>
      </c>
      <c r="B5" s="6" t="s">
        <v>434</v>
      </c>
      <c r="C5" s="2" t="s">
        <v>15</v>
      </c>
      <c r="D5" s="4">
        <v>700</v>
      </c>
      <c r="E5" s="4">
        <v>700</v>
      </c>
      <c r="F5" s="4">
        <v>0</v>
      </c>
    </row>
    <row r="6" spans="1:6" x14ac:dyDescent="0.35">
      <c r="A6" s="2">
        <v>1201201003</v>
      </c>
      <c r="B6" s="6" t="s">
        <v>421</v>
      </c>
      <c r="C6" s="2" t="s">
        <v>432</v>
      </c>
      <c r="D6" s="4">
        <v>250</v>
      </c>
      <c r="E6" s="4">
        <v>250</v>
      </c>
      <c r="F6" s="4">
        <v>0</v>
      </c>
    </row>
    <row r="7" spans="1:6" x14ac:dyDescent="0.35">
      <c r="A7" s="2">
        <v>1201201004</v>
      </c>
      <c r="B7" s="6" t="s">
        <v>435</v>
      </c>
      <c r="C7" s="2" t="s">
        <v>15</v>
      </c>
      <c r="D7" s="4">
        <v>37500</v>
      </c>
      <c r="E7" s="4">
        <v>37500</v>
      </c>
      <c r="F7" s="4">
        <v>0</v>
      </c>
    </row>
    <row r="8" spans="1:6" x14ac:dyDescent="0.35">
      <c r="A8" s="2">
        <v>1201220006</v>
      </c>
      <c r="B8" s="6" t="s">
        <v>436</v>
      </c>
      <c r="C8" s="2" t="s">
        <v>432</v>
      </c>
      <c r="D8" s="4">
        <v>212.5</v>
      </c>
      <c r="E8" s="4">
        <v>212.5</v>
      </c>
      <c r="F8" s="4">
        <v>0</v>
      </c>
    </row>
    <row r="9" spans="1:6" x14ac:dyDescent="0.35">
      <c r="A9" s="2">
        <v>1201220008</v>
      </c>
      <c r="B9" s="6" t="s">
        <v>437</v>
      </c>
      <c r="C9" s="2" t="s">
        <v>432</v>
      </c>
      <c r="D9" s="4">
        <v>10.4</v>
      </c>
      <c r="E9" s="4">
        <v>10.4</v>
      </c>
      <c r="F9" s="4">
        <v>0</v>
      </c>
    </row>
    <row r="10" spans="1:6" x14ac:dyDescent="0.35">
      <c r="A10" s="2">
        <v>1201220009</v>
      </c>
      <c r="B10" s="6" t="s">
        <v>160</v>
      </c>
      <c r="C10" s="2" t="s">
        <v>432</v>
      </c>
      <c r="D10" s="4">
        <v>240</v>
      </c>
      <c r="E10" s="4">
        <v>240</v>
      </c>
      <c r="F10" s="4">
        <v>0</v>
      </c>
    </row>
    <row r="11" spans="1:6" x14ac:dyDescent="0.35">
      <c r="A11" s="2">
        <v>1201220010</v>
      </c>
      <c r="B11" s="6" t="s">
        <v>235</v>
      </c>
      <c r="C11" s="2" t="s">
        <v>15</v>
      </c>
      <c r="D11" s="4">
        <v>893.06156753799996</v>
      </c>
      <c r="E11" s="4">
        <v>884.21937379999997</v>
      </c>
      <c r="F11" s="4">
        <v>8.8421937380000006</v>
      </c>
    </row>
    <row r="12" spans="1:6" x14ac:dyDescent="0.35">
      <c r="A12" s="2">
        <v>1201221001</v>
      </c>
      <c r="B12" s="6" t="s">
        <v>64</v>
      </c>
      <c r="C12" s="2" t="s">
        <v>15</v>
      </c>
      <c r="D12" s="4">
        <v>363.32562860000002</v>
      </c>
      <c r="E12" s="4">
        <v>363.32562860000002</v>
      </c>
      <c r="F12" s="4">
        <v>0</v>
      </c>
    </row>
    <row r="13" spans="1:6" x14ac:dyDescent="0.35">
      <c r="A13" s="2">
        <v>1201221002</v>
      </c>
      <c r="B13" s="6" t="s">
        <v>86</v>
      </c>
      <c r="C13" s="2" t="s">
        <v>15</v>
      </c>
      <c r="D13" s="4">
        <v>2528</v>
      </c>
      <c r="E13" s="4">
        <v>2528</v>
      </c>
      <c r="F13" s="4">
        <v>0</v>
      </c>
    </row>
    <row r="14" spans="1:6" x14ac:dyDescent="0.35">
      <c r="A14" s="2">
        <v>1201221004</v>
      </c>
      <c r="B14" s="6" t="s">
        <v>68</v>
      </c>
      <c r="C14" s="2" t="s">
        <v>15</v>
      </c>
      <c r="D14" s="4">
        <v>888.12425929999995</v>
      </c>
      <c r="E14" s="4">
        <v>888.12425929999995</v>
      </c>
      <c r="F14" s="4">
        <v>0</v>
      </c>
    </row>
    <row r="15" spans="1:6" x14ac:dyDescent="0.35">
      <c r="A15" s="2">
        <v>1201221009</v>
      </c>
      <c r="B15" s="6" t="s">
        <v>66</v>
      </c>
      <c r="C15" s="2" t="s">
        <v>15</v>
      </c>
      <c r="D15" s="4">
        <v>335.53267490000002</v>
      </c>
      <c r="E15" s="4">
        <v>335.53267490000002</v>
      </c>
      <c r="F15" s="4">
        <v>0</v>
      </c>
    </row>
    <row r="16" spans="1:6" x14ac:dyDescent="0.35">
      <c r="A16" s="2">
        <v>1201221010</v>
      </c>
      <c r="B16" s="6" t="s">
        <v>261</v>
      </c>
      <c r="C16" s="2" t="s">
        <v>15</v>
      </c>
      <c r="D16" s="4">
        <v>163.68898224</v>
      </c>
      <c r="E16" s="4">
        <v>151.21384040000001</v>
      </c>
      <c r="F16" s="4">
        <v>12.475141839999999</v>
      </c>
    </row>
    <row r="17" spans="1:6" x14ac:dyDescent="0.35">
      <c r="A17" s="2">
        <v>1201221011</v>
      </c>
      <c r="B17" s="6" t="s">
        <v>438</v>
      </c>
      <c r="C17" s="2" t="s">
        <v>15</v>
      </c>
      <c r="D17" s="4">
        <v>4828.1180000000004</v>
      </c>
      <c r="E17" s="4">
        <v>4828.1180000000004</v>
      </c>
      <c r="F17" s="4">
        <v>0</v>
      </c>
    </row>
    <row r="18" spans="1:6" x14ac:dyDescent="0.35">
      <c r="A18" s="2">
        <v>1201221015</v>
      </c>
      <c r="B18" s="6" t="s">
        <v>439</v>
      </c>
      <c r="C18" s="2" t="s">
        <v>15</v>
      </c>
      <c r="D18" s="4">
        <v>70</v>
      </c>
      <c r="E18" s="4">
        <v>70</v>
      </c>
      <c r="F18" s="4">
        <v>0</v>
      </c>
    </row>
    <row r="19" spans="1:6" x14ac:dyDescent="0.35">
      <c r="A19" s="2">
        <v>1201221016</v>
      </c>
      <c r="B19" s="6" t="s">
        <v>440</v>
      </c>
      <c r="C19" s="2" t="s">
        <v>15</v>
      </c>
      <c r="D19" s="4">
        <v>1237.2349999999999</v>
      </c>
      <c r="E19" s="4">
        <v>1237.2349999999999</v>
      </c>
      <c r="F19" s="4">
        <v>0</v>
      </c>
    </row>
    <row r="20" spans="1:6" x14ac:dyDescent="0.35">
      <c r="A20" s="2">
        <v>1201221018</v>
      </c>
      <c r="B20" s="6" t="s">
        <v>441</v>
      </c>
      <c r="C20" s="2" t="s">
        <v>15</v>
      </c>
      <c r="D20" s="4">
        <v>8000</v>
      </c>
      <c r="E20" s="4">
        <v>8000</v>
      </c>
      <c r="F20" s="4">
        <v>0</v>
      </c>
    </row>
    <row r="21" spans="1:6" x14ac:dyDescent="0.35">
      <c r="A21" s="2">
        <v>1201221019</v>
      </c>
      <c r="B21" s="6" t="s">
        <v>442</v>
      </c>
      <c r="C21" s="2" t="s">
        <v>15</v>
      </c>
      <c r="D21" s="4">
        <v>2240</v>
      </c>
      <c r="E21" s="4">
        <v>2240</v>
      </c>
      <c r="F21" s="4">
        <v>0</v>
      </c>
    </row>
    <row r="22" spans="1:6" x14ac:dyDescent="0.35">
      <c r="A22" s="2">
        <v>1201221020</v>
      </c>
      <c r="B22" s="6" t="s">
        <v>80</v>
      </c>
      <c r="C22" s="2" t="s">
        <v>15</v>
      </c>
      <c r="D22" s="4">
        <v>1888</v>
      </c>
      <c r="E22" s="4">
        <v>1888</v>
      </c>
      <c r="F22" s="4">
        <v>0</v>
      </c>
    </row>
    <row r="23" spans="1:6" x14ac:dyDescent="0.35">
      <c r="A23" s="2">
        <v>1201221021</v>
      </c>
      <c r="B23" s="6" t="s">
        <v>443</v>
      </c>
      <c r="C23" s="2" t="s">
        <v>15</v>
      </c>
      <c r="D23" s="4">
        <v>544</v>
      </c>
      <c r="E23" s="4">
        <v>544</v>
      </c>
      <c r="F23" s="4">
        <v>0</v>
      </c>
    </row>
    <row r="24" spans="1:6" x14ac:dyDescent="0.35">
      <c r="A24" s="2">
        <v>1201221022</v>
      </c>
      <c r="B24" s="6" t="s">
        <v>444</v>
      </c>
      <c r="C24" s="2" t="s">
        <v>15</v>
      </c>
      <c r="D24" s="4">
        <v>608</v>
      </c>
      <c r="E24" s="4">
        <v>608</v>
      </c>
      <c r="F24" s="4">
        <v>0</v>
      </c>
    </row>
    <row r="25" spans="1:6" x14ac:dyDescent="0.35">
      <c r="A25" s="2">
        <v>1201221023</v>
      </c>
      <c r="B25" s="6" t="s">
        <v>445</v>
      </c>
      <c r="C25" s="2" t="s">
        <v>15</v>
      </c>
      <c r="D25" s="4">
        <v>4640</v>
      </c>
      <c r="E25" s="4">
        <v>4640</v>
      </c>
      <c r="F25" s="4">
        <v>0</v>
      </c>
    </row>
    <row r="26" spans="1:6" x14ac:dyDescent="0.35">
      <c r="A26" s="2">
        <v>1201221024</v>
      </c>
      <c r="B26" s="6" t="s">
        <v>167</v>
      </c>
      <c r="C26" s="2" t="s">
        <v>432</v>
      </c>
      <c r="D26" s="4">
        <v>360</v>
      </c>
      <c r="E26" s="4">
        <v>360</v>
      </c>
      <c r="F26" s="4">
        <v>0</v>
      </c>
    </row>
    <row r="27" spans="1:6" x14ac:dyDescent="0.35">
      <c r="A27" s="2">
        <v>1201221026</v>
      </c>
      <c r="B27" s="6" t="s">
        <v>446</v>
      </c>
      <c r="C27" s="2" t="s">
        <v>15</v>
      </c>
      <c r="D27" s="4">
        <v>846.06480350000004</v>
      </c>
      <c r="E27" s="4">
        <v>732.52363939999998</v>
      </c>
      <c r="F27" s="4">
        <v>113.5411641</v>
      </c>
    </row>
    <row r="28" spans="1:6" x14ac:dyDescent="0.35">
      <c r="A28" s="2">
        <v>1201221027</v>
      </c>
      <c r="B28" s="6" t="s">
        <v>447</v>
      </c>
      <c r="C28" s="2" t="s">
        <v>15</v>
      </c>
      <c r="D28" s="4">
        <v>419.69601462000003</v>
      </c>
      <c r="E28" s="4">
        <v>392.23926599999999</v>
      </c>
      <c r="F28" s="4">
        <v>27.456748619999999</v>
      </c>
    </row>
    <row r="29" spans="1:6" x14ac:dyDescent="0.35">
      <c r="A29" s="2">
        <v>1201221028</v>
      </c>
      <c r="B29" s="6" t="s">
        <v>448</v>
      </c>
      <c r="C29" s="2" t="s">
        <v>15</v>
      </c>
      <c r="D29" s="4">
        <v>4256</v>
      </c>
      <c r="E29" s="4">
        <v>4256</v>
      </c>
      <c r="F29" s="4">
        <v>0</v>
      </c>
    </row>
    <row r="30" spans="1:6" x14ac:dyDescent="0.35">
      <c r="A30" s="2">
        <v>1201221029</v>
      </c>
      <c r="B30" s="6" t="s">
        <v>158</v>
      </c>
      <c r="C30" s="2" t="s">
        <v>15</v>
      </c>
      <c r="D30" s="4">
        <v>9565.8953566</v>
      </c>
      <c r="E30" s="4">
        <v>9378.3287810000002</v>
      </c>
      <c r="F30" s="4">
        <v>187.56657559999999</v>
      </c>
    </row>
    <row r="31" spans="1:6" x14ac:dyDescent="0.35">
      <c r="A31" s="2">
        <v>1201221030</v>
      </c>
      <c r="B31" s="6" t="s">
        <v>449</v>
      </c>
      <c r="C31" s="2" t="s">
        <v>15</v>
      </c>
      <c r="D31" s="4">
        <v>3200</v>
      </c>
      <c r="E31" s="4">
        <v>3200</v>
      </c>
      <c r="F31" s="4">
        <v>0</v>
      </c>
    </row>
    <row r="32" spans="1:6" x14ac:dyDescent="0.35">
      <c r="A32" s="2">
        <v>1201221031</v>
      </c>
      <c r="B32" s="6" t="s">
        <v>450</v>
      </c>
      <c r="C32" s="2" t="s">
        <v>15</v>
      </c>
      <c r="D32" s="4">
        <v>4800</v>
      </c>
      <c r="E32" s="4">
        <v>4800</v>
      </c>
      <c r="F32" s="4">
        <v>0</v>
      </c>
    </row>
    <row r="33" spans="1:6" x14ac:dyDescent="0.35">
      <c r="A33" s="2">
        <v>1201300004</v>
      </c>
      <c r="B33" s="6" t="s">
        <v>451</v>
      </c>
      <c r="C33" s="2" t="s">
        <v>432</v>
      </c>
      <c r="D33" s="4">
        <v>1255.6029414300001</v>
      </c>
      <c r="E33" s="4">
        <v>1241.9415839999999</v>
      </c>
      <c r="F33" s="4">
        <v>13.661357430000001</v>
      </c>
    </row>
    <row r="34" spans="1:6" x14ac:dyDescent="0.35">
      <c r="A34" s="2">
        <v>1201300008</v>
      </c>
      <c r="B34" s="6" t="s">
        <v>452</v>
      </c>
      <c r="C34" s="2" t="s">
        <v>15</v>
      </c>
      <c r="D34" s="4">
        <v>100</v>
      </c>
      <c r="E34" s="4">
        <v>100</v>
      </c>
      <c r="F34" s="4">
        <v>0</v>
      </c>
    </row>
    <row r="35" spans="1:6" x14ac:dyDescent="0.35">
      <c r="A35" s="2">
        <v>1201301004</v>
      </c>
      <c r="B35" s="6" t="s">
        <v>453</v>
      </c>
      <c r="C35" s="2" t="s">
        <v>15</v>
      </c>
      <c r="D35" s="4">
        <v>5374.8108199999997</v>
      </c>
      <c r="E35" s="4">
        <v>5374.8108199999997</v>
      </c>
      <c r="F35" s="4">
        <v>0</v>
      </c>
    </row>
    <row r="36" spans="1:6" x14ac:dyDescent="0.35">
      <c r="A36" s="2">
        <v>1201301005</v>
      </c>
      <c r="B36" s="6" t="s">
        <v>52</v>
      </c>
      <c r="C36" s="2" t="s">
        <v>432</v>
      </c>
      <c r="D36" s="4">
        <v>1850</v>
      </c>
      <c r="E36" s="4">
        <v>1850</v>
      </c>
      <c r="F36" s="4">
        <v>0</v>
      </c>
    </row>
    <row r="37" spans="1:6" x14ac:dyDescent="0.35">
      <c r="A37" s="2">
        <v>1201301006</v>
      </c>
      <c r="B37" s="6" t="s">
        <v>454</v>
      </c>
      <c r="C37" s="2" t="s">
        <v>15</v>
      </c>
      <c r="D37" s="4">
        <v>1891.8879999999999</v>
      </c>
      <c r="E37" s="4">
        <v>1696</v>
      </c>
      <c r="F37" s="4">
        <v>195.88800000000001</v>
      </c>
    </row>
    <row r="38" spans="1:6" x14ac:dyDescent="0.35">
      <c r="A38" s="2">
        <v>1201301007</v>
      </c>
      <c r="B38" s="6" t="s">
        <v>455</v>
      </c>
      <c r="C38" s="2" t="s">
        <v>15</v>
      </c>
      <c r="D38" s="4">
        <v>41318.924184000003</v>
      </c>
      <c r="E38" s="4">
        <v>34432.436820000003</v>
      </c>
      <c r="F38" s="4">
        <v>6886.4873639999996</v>
      </c>
    </row>
    <row r="39" spans="1:6" x14ac:dyDescent="0.35">
      <c r="A39" s="2">
        <v>1201301008</v>
      </c>
      <c r="B39" s="6" t="s">
        <v>456</v>
      </c>
      <c r="C39" s="2" t="s">
        <v>15</v>
      </c>
      <c r="D39" s="4">
        <v>52433.332627199998</v>
      </c>
      <c r="E39" s="4">
        <v>51914.190719999999</v>
      </c>
      <c r="F39" s="4">
        <v>519.14190719999999</v>
      </c>
    </row>
    <row r="40" spans="1:6" x14ac:dyDescent="0.35">
      <c r="A40" s="2">
        <v>1201301009</v>
      </c>
      <c r="B40" s="6" t="s">
        <v>457</v>
      </c>
      <c r="C40" s="2" t="s">
        <v>15</v>
      </c>
      <c r="D40" s="4">
        <v>3156.8424740800001</v>
      </c>
      <c r="E40" s="4">
        <v>3125.5866080000001</v>
      </c>
      <c r="F40" s="4">
        <v>31.255866080000001</v>
      </c>
    </row>
    <row r="41" spans="1:6" x14ac:dyDescent="0.35">
      <c r="A41" s="2">
        <v>1201301011</v>
      </c>
      <c r="B41" s="6" t="e">
        <v>#N/A</v>
      </c>
      <c r="C41" s="2" t="e">
        <v>#N/A</v>
      </c>
      <c r="D41" s="4">
        <v>74170</v>
      </c>
      <c r="E41" s="4">
        <v>74170</v>
      </c>
    </row>
    <row r="42" spans="1:6" x14ac:dyDescent="0.35">
      <c r="A42" s="2">
        <v>1201400001</v>
      </c>
      <c r="B42" s="6" t="s">
        <v>54</v>
      </c>
      <c r="C42" s="2" t="s">
        <v>15</v>
      </c>
      <c r="D42" s="4">
        <v>1327.0283677299999</v>
      </c>
      <c r="E42" s="4">
        <v>1313.889473</v>
      </c>
      <c r="F42" s="4">
        <v>13.138894730000001</v>
      </c>
    </row>
    <row r="43" spans="1:6" x14ac:dyDescent="0.35">
      <c r="A43" s="2">
        <v>1201400002</v>
      </c>
      <c r="B43" s="6" t="s">
        <v>458</v>
      </c>
      <c r="C43" s="2" t="s">
        <v>15</v>
      </c>
      <c r="D43" s="4">
        <v>93678.273286299998</v>
      </c>
      <c r="E43" s="4">
        <v>92750.765629999994</v>
      </c>
      <c r="F43" s="4">
        <v>927.50765630000001</v>
      </c>
    </row>
    <row r="44" spans="1:6" x14ac:dyDescent="0.35">
      <c r="A44" s="2">
        <v>1201400003</v>
      </c>
      <c r="B44" s="6" t="s">
        <v>459</v>
      </c>
      <c r="C44" s="2" t="s">
        <v>15</v>
      </c>
      <c r="D44" s="4">
        <v>93678.273286299998</v>
      </c>
      <c r="E44" s="4">
        <v>92750.765629999994</v>
      </c>
      <c r="F44" s="4">
        <v>927.50765630000001</v>
      </c>
    </row>
    <row r="45" spans="1:6" x14ac:dyDescent="0.35">
      <c r="A45" s="2">
        <v>1201400006</v>
      </c>
      <c r="B45" s="6" t="s">
        <v>460</v>
      </c>
      <c r="C45" s="2" t="s">
        <v>461</v>
      </c>
      <c r="D45" s="4">
        <v>4336</v>
      </c>
      <c r="E45" s="4">
        <v>4336</v>
      </c>
      <c r="F45" s="4">
        <v>0</v>
      </c>
    </row>
    <row r="46" spans="1:6" x14ac:dyDescent="0.35">
      <c r="A46" s="2">
        <v>1201400008</v>
      </c>
      <c r="B46" s="6" t="s">
        <v>462</v>
      </c>
      <c r="C46" s="2" t="s">
        <v>15</v>
      </c>
      <c r="D46" s="4">
        <v>92300</v>
      </c>
      <c r="E46" s="4">
        <v>92300</v>
      </c>
      <c r="F46" s="4">
        <v>0</v>
      </c>
    </row>
    <row r="47" spans="1:6" x14ac:dyDescent="0.35">
      <c r="A47" s="2">
        <v>1201400009</v>
      </c>
      <c r="B47" s="6" t="s">
        <v>463</v>
      </c>
      <c r="C47" s="2" t="s">
        <v>15</v>
      </c>
      <c r="D47" s="4">
        <v>14334.440005</v>
      </c>
      <c r="E47" s="4">
        <v>12775.793229999999</v>
      </c>
      <c r="F47" s="4">
        <v>1558.6467749999999</v>
      </c>
    </row>
    <row r="48" spans="1:6" x14ac:dyDescent="0.35">
      <c r="A48" s="2">
        <v>1201400010</v>
      </c>
      <c r="B48" s="6" t="s">
        <v>464</v>
      </c>
      <c r="C48" s="2" t="s">
        <v>15</v>
      </c>
      <c r="D48" s="4">
        <v>6368.9122360000001</v>
      </c>
      <c r="E48" s="4">
        <v>6368.9122360000001</v>
      </c>
      <c r="F48" s="4">
        <v>0</v>
      </c>
    </row>
    <row r="49" spans="1:6" x14ac:dyDescent="0.35">
      <c r="A49" s="2">
        <v>1201500002</v>
      </c>
      <c r="B49" s="6" t="s">
        <v>104</v>
      </c>
      <c r="C49" s="2" t="s">
        <v>15</v>
      </c>
      <c r="D49" s="4">
        <v>540.51691534999998</v>
      </c>
      <c r="E49" s="4">
        <v>470.01470899999998</v>
      </c>
      <c r="F49" s="4">
        <v>70.502206349999994</v>
      </c>
    </row>
    <row r="50" spans="1:6" x14ac:dyDescent="0.35">
      <c r="A50" s="2">
        <v>1201500008</v>
      </c>
      <c r="B50" s="6" t="s">
        <v>316</v>
      </c>
      <c r="C50" s="2" t="s">
        <v>15</v>
      </c>
      <c r="D50" s="4">
        <v>893.45</v>
      </c>
      <c r="E50" s="4">
        <v>835</v>
      </c>
      <c r="F50" s="4">
        <v>58.45</v>
      </c>
    </row>
    <row r="51" spans="1:6" x14ac:dyDescent="0.35">
      <c r="A51" s="2">
        <v>1201500022</v>
      </c>
      <c r="B51" s="6" t="s">
        <v>99</v>
      </c>
      <c r="C51" s="2" t="s">
        <v>15</v>
      </c>
      <c r="D51" s="4">
        <v>522.24</v>
      </c>
      <c r="E51" s="4">
        <v>522.24</v>
      </c>
      <c r="F51" s="4">
        <v>0</v>
      </c>
    </row>
    <row r="52" spans="1:6" x14ac:dyDescent="0.35">
      <c r="A52" s="2">
        <v>1201500033</v>
      </c>
      <c r="B52" s="6" t="s">
        <v>107</v>
      </c>
      <c r="C52" s="2" t="s">
        <v>15</v>
      </c>
      <c r="D52" s="4">
        <v>927.49345100000005</v>
      </c>
      <c r="E52" s="4">
        <v>927.49345100000005</v>
      </c>
      <c r="F52" s="4">
        <v>0</v>
      </c>
    </row>
    <row r="53" spans="1:6" x14ac:dyDescent="0.35">
      <c r="A53" s="2">
        <v>1201500036</v>
      </c>
      <c r="B53" s="6" t="s">
        <v>101</v>
      </c>
      <c r="C53" s="2" t="s">
        <v>15</v>
      </c>
      <c r="D53" s="4">
        <v>950</v>
      </c>
      <c r="E53" s="4">
        <v>950</v>
      </c>
      <c r="F53" s="4">
        <v>0</v>
      </c>
    </row>
    <row r="54" spans="1:6" x14ac:dyDescent="0.35">
      <c r="A54" s="2">
        <v>1201500037</v>
      </c>
      <c r="B54" s="6" t="s">
        <v>465</v>
      </c>
      <c r="C54" s="2" t="s">
        <v>15</v>
      </c>
      <c r="D54" s="4">
        <v>5915.0084749999996</v>
      </c>
      <c r="E54" s="4">
        <v>5915.0084749999996</v>
      </c>
      <c r="F54" s="4">
        <v>0</v>
      </c>
    </row>
    <row r="55" spans="1:6" x14ac:dyDescent="0.35">
      <c r="A55" s="2">
        <v>1201500038</v>
      </c>
      <c r="B55" s="6" t="s">
        <v>466</v>
      </c>
      <c r="C55" s="2" t="s">
        <v>15</v>
      </c>
      <c r="D55" s="4">
        <v>304.95999999999998</v>
      </c>
      <c r="E55" s="4">
        <v>304.95999999999998</v>
      </c>
      <c r="F55" s="4">
        <v>0</v>
      </c>
    </row>
    <row r="56" spans="1:6" x14ac:dyDescent="0.35">
      <c r="A56" s="2">
        <v>1201500039</v>
      </c>
      <c r="B56" s="6" t="s">
        <v>137</v>
      </c>
      <c r="C56" s="2" t="s">
        <v>15</v>
      </c>
      <c r="D56" s="4">
        <v>1198</v>
      </c>
      <c r="E56" s="4">
        <v>1198</v>
      </c>
      <c r="F56" s="4">
        <v>0</v>
      </c>
    </row>
    <row r="57" spans="1:6" x14ac:dyDescent="0.35">
      <c r="A57" s="2">
        <v>1201500040</v>
      </c>
      <c r="B57" s="6" t="s">
        <v>321</v>
      </c>
      <c r="C57" s="2" t="s">
        <v>15</v>
      </c>
      <c r="D57" s="4">
        <v>2290.3411076000002</v>
      </c>
      <c r="E57" s="4">
        <v>2140.5057080000001</v>
      </c>
      <c r="F57" s="4">
        <v>149.83539959999999</v>
      </c>
    </row>
    <row r="58" spans="1:6" x14ac:dyDescent="0.35">
      <c r="A58" s="2">
        <v>1201500041</v>
      </c>
      <c r="B58" s="6" t="s">
        <v>214</v>
      </c>
      <c r="C58" s="2" t="s">
        <v>432</v>
      </c>
      <c r="D58" s="4">
        <v>600</v>
      </c>
      <c r="E58" s="4">
        <v>600</v>
      </c>
      <c r="F58" s="4">
        <v>0</v>
      </c>
    </row>
    <row r="59" spans="1:6" x14ac:dyDescent="0.35">
      <c r="A59" s="2">
        <v>1201500042</v>
      </c>
      <c r="B59" s="6" t="s">
        <v>467</v>
      </c>
      <c r="C59" s="2" t="s">
        <v>461</v>
      </c>
      <c r="D59" s="4">
        <v>8.3334033759999997</v>
      </c>
      <c r="E59" s="4">
        <v>7.5758212509999998</v>
      </c>
      <c r="F59" s="4">
        <v>0.757582125</v>
      </c>
    </row>
    <row r="60" spans="1:6" x14ac:dyDescent="0.35">
      <c r="A60" s="2">
        <v>1201500043</v>
      </c>
      <c r="B60" s="6" t="s">
        <v>468</v>
      </c>
      <c r="C60" s="2" t="s">
        <v>15</v>
      </c>
      <c r="D60" s="4">
        <v>540.51691534999998</v>
      </c>
      <c r="E60" s="4">
        <v>470.01470899999998</v>
      </c>
      <c r="F60" s="4">
        <v>70.502206349999994</v>
      </c>
    </row>
    <row r="61" spans="1:6" x14ac:dyDescent="0.35">
      <c r="A61" s="2">
        <v>1201500045</v>
      </c>
      <c r="B61" s="6" t="s">
        <v>91</v>
      </c>
      <c r="C61" s="2" t="s">
        <v>15</v>
      </c>
      <c r="D61" s="4">
        <v>304.95999999999998</v>
      </c>
      <c r="E61" s="4">
        <v>304.95999999999998</v>
      </c>
      <c r="F61" s="4">
        <v>0</v>
      </c>
    </row>
    <row r="62" spans="1:6" x14ac:dyDescent="0.35">
      <c r="A62" s="2">
        <v>1201500046</v>
      </c>
      <c r="B62" s="6" t="s">
        <v>96</v>
      </c>
      <c r="C62" s="2" t="s">
        <v>15</v>
      </c>
      <c r="D62" s="4">
        <v>304.95999999999998</v>
      </c>
      <c r="E62" s="4">
        <v>304.95999999999998</v>
      </c>
      <c r="F62" s="4">
        <v>0</v>
      </c>
    </row>
    <row r="63" spans="1:6" x14ac:dyDescent="0.35">
      <c r="A63" s="2">
        <v>1201500047</v>
      </c>
      <c r="B63" s="6" t="s">
        <v>469</v>
      </c>
      <c r="C63" s="2" t="s">
        <v>15</v>
      </c>
      <c r="D63" s="4">
        <v>313.60000000000002</v>
      </c>
      <c r="E63" s="4">
        <v>313.60000000000002</v>
      </c>
      <c r="F63" s="4">
        <v>0</v>
      </c>
    </row>
    <row r="64" spans="1:6" x14ac:dyDescent="0.35">
      <c r="A64" s="2">
        <v>1201500048</v>
      </c>
      <c r="B64" s="6" t="s">
        <v>470</v>
      </c>
      <c r="C64" s="2" t="s">
        <v>15</v>
      </c>
      <c r="D64" s="4">
        <v>2466.7808199999999</v>
      </c>
      <c r="E64" s="4">
        <v>2466.7808199999999</v>
      </c>
    </row>
    <row r="65" spans="1:6" x14ac:dyDescent="0.35">
      <c r="A65" s="2">
        <v>1201500049</v>
      </c>
      <c r="B65" s="6" t="s">
        <v>94</v>
      </c>
      <c r="C65" s="2" t="s">
        <v>15</v>
      </c>
      <c r="D65" s="4">
        <v>304.95999999999998</v>
      </c>
      <c r="E65" s="4">
        <v>304.95999999999998</v>
      </c>
    </row>
    <row r="66" spans="1:6" x14ac:dyDescent="0.35">
      <c r="A66" s="2">
        <v>1201520001</v>
      </c>
      <c r="B66" s="6" t="s">
        <v>471</v>
      </c>
      <c r="C66" s="2" t="s">
        <v>461</v>
      </c>
      <c r="D66" s="4">
        <v>15625</v>
      </c>
      <c r="E66" s="4">
        <v>15625</v>
      </c>
      <c r="F66" s="4">
        <v>0</v>
      </c>
    </row>
    <row r="67" spans="1:6" x14ac:dyDescent="0.35">
      <c r="A67" s="2">
        <v>1201520006</v>
      </c>
      <c r="B67" s="6" t="s">
        <v>20</v>
      </c>
      <c r="C67" s="2" t="s">
        <v>15</v>
      </c>
      <c r="D67" s="4">
        <v>407.14435809999998</v>
      </c>
      <c r="E67" s="4">
        <v>407.14435809999998</v>
      </c>
      <c r="F67" s="4">
        <v>0</v>
      </c>
    </row>
    <row r="68" spans="1:6" x14ac:dyDescent="0.35">
      <c r="A68" s="2">
        <v>1201520009</v>
      </c>
      <c r="B68" s="6" t="s">
        <v>14</v>
      </c>
      <c r="C68" s="2" t="s">
        <v>15</v>
      </c>
      <c r="D68" s="4">
        <v>423.61840719999998</v>
      </c>
      <c r="E68" s="4">
        <v>423.61840719999998</v>
      </c>
      <c r="F68" s="4">
        <v>0</v>
      </c>
    </row>
    <row r="69" spans="1:6" x14ac:dyDescent="0.35">
      <c r="A69" s="2">
        <v>1201521001</v>
      </c>
      <c r="B69" s="6" t="s">
        <v>472</v>
      </c>
      <c r="C69" s="2" t="s">
        <v>461</v>
      </c>
      <c r="D69" s="4">
        <v>17258.527704</v>
      </c>
      <c r="E69" s="4">
        <v>15689.57064</v>
      </c>
      <c r="F69" s="4">
        <v>1568.9570639999999</v>
      </c>
    </row>
    <row r="70" spans="1:6" x14ac:dyDescent="0.35">
      <c r="A70" s="2">
        <v>1201560003</v>
      </c>
      <c r="B70" s="6" t="s">
        <v>473</v>
      </c>
      <c r="C70" s="2" t="s">
        <v>15</v>
      </c>
      <c r="D70" s="4">
        <v>4032.36</v>
      </c>
      <c r="E70" s="4">
        <v>4032.36</v>
      </c>
      <c r="F70" s="4">
        <v>0</v>
      </c>
    </row>
    <row r="71" spans="1:6" x14ac:dyDescent="0.35">
      <c r="A71" s="2">
        <v>1201560005</v>
      </c>
      <c r="B71" s="6" t="s">
        <v>474</v>
      </c>
      <c r="C71" s="2" t="s">
        <v>15</v>
      </c>
      <c r="D71" s="4">
        <v>4032.36</v>
      </c>
      <c r="E71" s="4">
        <v>4032.36</v>
      </c>
      <c r="F71" s="4">
        <v>0</v>
      </c>
    </row>
    <row r="72" spans="1:6" x14ac:dyDescent="0.35">
      <c r="A72" s="2">
        <v>1201701001</v>
      </c>
      <c r="B72" s="6" t="s">
        <v>475</v>
      </c>
      <c r="C72" s="2" t="s">
        <v>461</v>
      </c>
      <c r="D72" s="4">
        <v>29</v>
      </c>
      <c r="E72" s="4">
        <v>29</v>
      </c>
      <c r="F72" s="4">
        <v>0</v>
      </c>
    </row>
    <row r="73" spans="1:6" x14ac:dyDescent="0.35">
      <c r="A73" s="2">
        <v>1201701006</v>
      </c>
      <c r="B73" s="6" t="s">
        <v>252</v>
      </c>
      <c r="C73" s="2" t="s">
        <v>461</v>
      </c>
      <c r="D73" s="4">
        <v>5.0999999999999996</v>
      </c>
      <c r="E73" s="4">
        <v>5.0999999999999996</v>
      </c>
      <c r="F73" s="4">
        <v>0</v>
      </c>
    </row>
    <row r="74" spans="1:6" x14ac:dyDescent="0.35">
      <c r="A74" s="2">
        <v>1201702001</v>
      </c>
      <c r="B74" s="6" t="s">
        <v>476</v>
      </c>
      <c r="C74" s="2" t="s">
        <v>477</v>
      </c>
      <c r="D74" s="4">
        <v>1.4006636800000001</v>
      </c>
      <c r="E74" s="4">
        <v>1.3638399999999999</v>
      </c>
      <c r="F74" s="4">
        <v>3.6823679999999998E-2</v>
      </c>
    </row>
    <row r="75" spans="1:6" x14ac:dyDescent="0.35">
      <c r="A75" s="2">
        <v>1201702005</v>
      </c>
      <c r="B75" s="6" t="s">
        <v>478</v>
      </c>
      <c r="C75" s="2" t="s">
        <v>477</v>
      </c>
      <c r="D75" s="4">
        <v>1.47888</v>
      </c>
      <c r="E75" s="4">
        <v>1.44</v>
      </c>
      <c r="F75" s="4">
        <v>3.8879999999999998E-2</v>
      </c>
    </row>
    <row r="76" spans="1:6" x14ac:dyDescent="0.35">
      <c r="A76" s="2">
        <v>1201702010</v>
      </c>
      <c r="B76" s="6" t="s">
        <v>479</v>
      </c>
      <c r="C76" s="2" t="s">
        <v>477</v>
      </c>
      <c r="D76" s="4">
        <v>1.2488319999999999</v>
      </c>
      <c r="E76" s="4">
        <v>1.216</v>
      </c>
      <c r="F76" s="4">
        <v>3.2832E-2</v>
      </c>
    </row>
    <row r="77" spans="1:6" x14ac:dyDescent="0.35">
      <c r="A77" s="2">
        <v>1201702018</v>
      </c>
      <c r="B77" s="6" t="s">
        <v>130</v>
      </c>
      <c r="C77" s="2" t="s">
        <v>477</v>
      </c>
      <c r="D77" s="4">
        <v>1.792</v>
      </c>
      <c r="E77" s="4">
        <v>1.792</v>
      </c>
      <c r="F77" s="4">
        <v>0</v>
      </c>
    </row>
    <row r="78" spans="1:6" x14ac:dyDescent="0.35">
      <c r="A78" s="2">
        <v>1201702030</v>
      </c>
      <c r="B78" s="6" t="s">
        <v>11</v>
      </c>
      <c r="C78" s="2" t="s">
        <v>477</v>
      </c>
      <c r="D78" s="4">
        <v>4.45</v>
      </c>
      <c r="E78" s="4">
        <v>4.45</v>
      </c>
      <c r="F78" s="4">
        <v>0</v>
      </c>
    </row>
    <row r="79" spans="1:6" x14ac:dyDescent="0.35">
      <c r="A79" s="2">
        <v>1201702031</v>
      </c>
      <c r="B79" s="6" t="s">
        <v>480</v>
      </c>
      <c r="C79" s="2" t="s">
        <v>477</v>
      </c>
      <c r="D79" s="4">
        <v>3.12</v>
      </c>
      <c r="E79" s="4">
        <v>3.12</v>
      </c>
      <c r="F79" s="4">
        <v>0</v>
      </c>
    </row>
    <row r="80" spans="1:6" x14ac:dyDescent="0.35">
      <c r="A80" s="2">
        <v>1201702032</v>
      </c>
      <c r="B80" s="6" t="s">
        <v>481</v>
      </c>
      <c r="C80" s="2" t="s">
        <v>477</v>
      </c>
      <c r="D80" s="4">
        <v>1.792</v>
      </c>
      <c r="E80" s="4">
        <v>1.792</v>
      </c>
      <c r="F80" s="4">
        <v>0</v>
      </c>
    </row>
    <row r="81" spans="1:6" x14ac:dyDescent="0.35">
      <c r="A81" s="2">
        <v>1201702033</v>
      </c>
      <c r="B81" s="6" t="s">
        <v>482</v>
      </c>
      <c r="C81" s="2" t="s">
        <v>477</v>
      </c>
      <c r="D81" s="4">
        <v>2.2400000000000002</v>
      </c>
      <c r="E81" s="4">
        <v>2.2400000000000002</v>
      </c>
      <c r="F81" s="4">
        <v>0</v>
      </c>
    </row>
    <row r="82" spans="1:6" x14ac:dyDescent="0.35">
      <c r="A82" s="2">
        <v>1201702034</v>
      </c>
      <c r="B82" s="6" t="s">
        <v>483</v>
      </c>
      <c r="C82" s="2" t="s">
        <v>477</v>
      </c>
      <c r="D82" s="4">
        <v>2.2400000000000002</v>
      </c>
      <c r="E82" s="4">
        <v>2.2400000000000002</v>
      </c>
      <c r="F82" s="4">
        <v>0</v>
      </c>
    </row>
    <row r="83" spans="1:6" x14ac:dyDescent="0.35">
      <c r="A83" s="2">
        <v>1201702035</v>
      </c>
      <c r="B83" s="6" t="s">
        <v>484</v>
      </c>
      <c r="C83" s="2" t="s">
        <v>477</v>
      </c>
      <c r="D83" s="4">
        <v>1.3344</v>
      </c>
      <c r="E83" s="4">
        <v>0.66720000000000002</v>
      </c>
      <c r="F83" s="4">
        <v>0.66720000000000002</v>
      </c>
    </row>
    <row r="84" spans="1:6" x14ac:dyDescent="0.35">
      <c r="A84" s="2">
        <v>1201703004</v>
      </c>
      <c r="B84" s="6" t="s">
        <v>118</v>
      </c>
      <c r="C84" s="2" t="s">
        <v>477</v>
      </c>
      <c r="D84" s="4">
        <v>0.55868799999999996</v>
      </c>
      <c r="E84" s="4">
        <v>0.54400000000000004</v>
      </c>
      <c r="F84" s="4">
        <v>1.4688E-2</v>
      </c>
    </row>
    <row r="85" spans="1:6" x14ac:dyDescent="0.35">
      <c r="A85" s="2">
        <v>1201703006</v>
      </c>
      <c r="B85" s="6" t="s">
        <v>114</v>
      </c>
      <c r="C85" s="2" t="s">
        <v>477</v>
      </c>
      <c r="D85" s="4">
        <v>0.41</v>
      </c>
      <c r="E85" s="4">
        <v>0.41</v>
      </c>
      <c r="F85" s="4">
        <v>0</v>
      </c>
    </row>
    <row r="86" spans="1:6" x14ac:dyDescent="0.35">
      <c r="A86" s="2">
        <v>1201704003</v>
      </c>
      <c r="B86" s="6" t="s">
        <v>485</v>
      </c>
      <c r="C86" s="2" t="s">
        <v>477</v>
      </c>
      <c r="D86" s="4">
        <v>0.71599999999999997</v>
      </c>
      <c r="E86" s="4">
        <v>0.71599999999999997</v>
      </c>
      <c r="F86" s="4">
        <v>0</v>
      </c>
    </row>
    <row r="87" spans="1:6" x14ac:dyDescent="0.35">
      <c r="A87" s="2">
        <v>1201704004</v>
      </c>
      <c r="B87" s="6" t="s">
        <v>124</v>
      </c>
      <c r="C87" s="2" t="s">
        <v>477</v>
      </c>
      <c r="D87" s="4">
        <v>2.1440000000000001</v>
      </c>
      <c r="E87" s="4">
        <v>2.1440000000000001</v>
      </c>
      <c r="F87" s="4">
        <v>0</v>
      </c>
    </row>
    <row r="88" spans="1:6" x14ac:dyDescent="0.35">
      <c r="A88" s="2">
        <v>1201704005</v>
      </c>
      <c r="B88" s="6" t="s">
        <v>486</v>
      </c>
      <c r="C88" s="2" t="s">
        <v>477</v>
      </c>
      <c r="D88" s="4">
        <v>2.1111100999999999</v>
      </c>
      <c r="E88" s="4">
        <v>2.1111100999999999</v>
      </c>
      <c r="F88" s="4">
        <v>0</v>
      </c>
    </row>
    <row r="89" spans="1:6" x14ac:dyDescent="0.35">
      <c r="A89" s="2">
        <v>1205000004</v>
      </c>
      <c r="B89" s="6" t="s">
        <v>487</v>
      </c>
      <c r="C89" s="2" t="s">
        <v>461</v>
      </c>
      <c r="D89" s="4">
        <v>11.593301133000001</v>
      </c>
      <c r="E89" s="4">
        <v>11.421971559999999</v>
      </c>
      <c r="F89" s="4">
        <v>0.17132957300000001</v>
      </c>
    </row>
    <row r="90" spans="1:6" x14ac:dyDescent="0.35">
      <c r="A90" s="2">
        <v>1205000006</v>
      </c>
      <c r="B90" s="6" t="s">
        <v>488</v>
      </c>
      <c r="C90" s="2" t="s">
        <v>461</v>
      </c>
      <c r="D90" s="4">
        <v>6.6315893000000001E-2</v>
      </c>
      <c r="E90" s="4">
        <v>6.5335854999999998E-2</v>
      </c>
      <c r="F90" s="4">
        <v>9.8003799999999992E-4</v>
      </c>
    </row>
    <row r="91" spans="1:6" x14ac:dyDescent="0.35">
      <c r="A91" s="2">
        <v>1205000007</v>
      </c>
      <c r="B91" s="6" t="s">
        <v>489</v>
      </c>
      <c r="C91" s="2" t="s">
        <v>461</v>
      </c>
      <c r="D91" s="4">
        <v>9.9986029789999993</v>
      </c>
      <c r="E91" s="4">
        <v>9.8508403730000005</v>
      </c>
      <c r="F91" s="4">
        <v>0.14776260599999999</v>
      </c>
    </row>
    <row r="92" spans="1:6" x14ac:dyDescent="0.35">
      <c r="A92" s="2">
        <v>1205001012</v>
      </c>
      <c r="B92" s="6" t="s">
        <v>490</v>
      </c>
      <c r="C92" s="2" t="s">
        <v>461</v>
      </c>
      <c r="D92" s="4">
        <v>7.4028101140000002</v>
      </c>
      <c r="E92" s="4">
        <v>7.2934089789999996</v>
      </c>
      <c r="F92" s="4">
        <v>0.109401135</v>
      </c>
    </row>
    <row r="93" spans="1:6" x14ac:dyDescent="0.35">
      <c r="A93" s="2">
        <v>1205001015</v>
      </c>
      <c r="B93" s="6" t="s">
        <v>491</v>
      </c>
      <c r="C93" s="2" t="s">
        <v>461</v>
      </c>
      <c r="D93" s="4">
        <v>10.239683431</v>
      </c>
      <c r="E93" s="4">
        <v>10.088358059999999</v>
      </c>
      <c r="F93" s="4">
        <v>0.15132537099999999</v>
      </c>
    </row>
    <row r="94" spans="1:6" x14ac:dyDescent="0.35">
      <c r="A94" s="2">
        <v>1205001016</v>
      </c>
      <c r="B94" s="6" t="s">
        <v>492</v>
      </c>
      <c r="C94" s="2" t="s">
        <v>461</v>
      </c>
      <c r="D94" s="4">
        <v>28.677736616000001</v>
      </c>
      <c r="E94" s="4">
        <v>28.253927699999998</v>
      </c>
      <c r="F94" s="4">
        <v>0.42380891599999998</v>
      </c>
    </row>
    <row r="95" spans="1:6" x14ac:dyDescent="0.35">
      <c r="A95" s="2">
        <v>1205001017</v>
      </c>
      <c r="B95" s="6" t="s">
        <v>493</v>
      </c>
      <c r="C95" s="2" t="s">
        <v>461</v>
      </c>
      <c r="D95" s="4">
        <v>29.065666855</v>
      </c>
      <c r="E95" s="4">
        <v>28.636124980000002</v>
      </c>
      <c r="F95" s="4">
        <v>0.42954187500000002</v>
      </c>
    </row>
    <row r="96" spans="1:6" x14ac:dyDescent="0.35">
      <c r="A96" s="2">
        <v>1205001018</v>
      </c>
      <c r="B96" s="6" t="s">
        <v>494</v>
      </c>
      <c r="C96" s="2" t="s">
        <v>461</v>
      </c>
      <c r="D96" s="4">
        <v>9.9986029789999993</v>
      </c>
      <c r="E96" s="4">
        <v>9.8508403730000005</v>
      </c>
      <c r="F96" s="4">
        <v>0.14776260599999999</v>
      </c>
    </row>
    <row r="97" spans="1:6" x14ac:dyDescent="0.35">
      <c r="A97" s="2">
        <v>1205001019</v>
      </c>
      <c r="B97" s="6" t="s">
        <v>495</v>
      </c>
      <c r="C97" s="2" t="s">
        <v>461</v>
      </c>
      <c r="D97" s="4">
        <v>25.147820579000001</v>
      </c>
      <c r="E97" s="4">
        <v>24.776177910000001</v>
      </c>
      <c r="F97" s="4">
        <v>0.37164266899999998</v>
      </c>
    </row>
    <row r="98" spans="1:6" x14ac:dyDescent="0.35">
      <c r="A98" s="2">
        <v>1205001020</v>
      </c>
      <c r="B98" s="6" t="s">
        <v>496</v>
      </c>
      <c r="C98" s="2" t="s">
        <v>461</v>
      </c>
      <c r="D98" s="4">
        <v>25.960416242000001</v>
      </c>
      <c r="E98" s="4">
        <v>25.57676477</v>
      </c>
      <c r="F98" s="4">
        <v>0.38365147199999999</v>
      </c>
    </row>
    <row r="99" spans="1:6" x14ac:dyDescent="0.35">
      <c r="A99" s="2">
        <v>1205001021</v>
      </c>
      <c r="B99" s="6" t="s">
        <v>497</v>
      </c>
      <c r="C99" s="2" t="s">
        <v>461</v>
      </c>
      <c r="D99" s="4">
        <v>24.78</v>
      </c>
      <c r="E99" s="4">
        <v>24.41</v>
      </c>
      <c r="F99" s="4">
        <v>0.37</v>
      </c>
    </row>
    <row r="100" spans="1:6" x14ac:dyDescent="0.35">
      <c r="A100" s="2">
        <v>1205101006</v>
      </c>
      <c r="B100" s="6" t="s">
        <v>498</v>
      </c>
      <c r="C100" s="2" t="s">
        <v>15</v>
      </c>
      <c r="D100" s="4">
        <v>999.23166000000003</v>
      </c>
      <c r="E100" s="4">
        <v>999.23166000000003</v>
      </c>
      <c r="F100" s="4">
        <v>0</v>
      </c>
    </row>
    <row r="101" spans="1:6" x14ac:dyDescent="0.35">
      <c r="A101" s="2">
        <v>1206001001</v>
      </c>
      <c r="B101" s="6" t="s">
        <v>499</v>
      </c>
      <c r="C101" s="2" t="s">
        <v>461</v>
      </c>
      <c r="D101" s="4">
        <v>0.53277066900000003</v>
      </c>
      <c r="E101" s="4">
        <v>0.53117713799999999</v>
      </c>
      <c r="F101" s="4">
        <v>1.593531E-3</v>
      </c>
    </row>
    <row r="102" spans="1:6" x14ac:dyDescent="0.35">
      <c r="A102" s="2">
        <v>1206001002</v>
      </c>
      <c r="B102" s="6" t="s">
        <v>500</v>
      </c>
      <c r="C102" s="2" t="s">
        <v>461</v>
      </c>
      <c r="D102" s="4">
        <v>0.30124423900000002</v>
      </c>
      <c r="E102" s="4">
        <v>0.300343209</v>
      </c>
      <c r="F102" s="4">
        <v>9.0103000000000004E-4</v>
      </c>
    </row>
    <row r="103" spans="1:6" x14ac:dyDescent="0.35">
      <c r="A103" s="2">
        <v>1206001003</v>
      </c>
      <c r="B103" s="6" t="s">
        <v>501</v>
      </c>
      <c r="C103" s="2" t="s">
        <v>461</v>
      </c>
      <c r="D103" s="4">
        <v>0.487164545</v>
      </c>
      <c r="E103" s="4">
        <v>0.46396623300000001</v>
      </c>
      <c r="F103" s="4">
        <v>2.3198311999999999E-2</v>
      </c>
    </row>
    <row r="104" spans="1:6" x14ac:dyDescent="0.35">
      <c r="A104" s="2">
        <v>1207100002</v>
      </c>
      <c r="B104" s="6" t="s">
        <v>502</v>
      </c>
      <c r="C104" s="2" t="s">
        <v>15</v>
      </c>
      <c r="D104" s="4">
        <v>211.22300000000001</v>
      </c>
      <c r="E104" s="4">
        <v>211.22300000000001</v>
      </c>
      <c r="F104" s="4">
        <v>0</v>
      </c>
    </row>
    <row r="105" spans="1:6" x14ac:dyDescent="0.35">
      <c r="A105" s="2">
        <v>1208100001</v>
      </c>
      <c r="B105" s="6" t="s">
        <v>503</v>
      </c>
      <c r="C105" s="2" t="s">
        <v>15</v>
      </c>
      <c r="D105" s="4">
        <v>652</v>
      </c>
      <c r="E105" s="4">
        <v>652</v>
      </c>
      <c r="F105" s="4">
        <v>0</v>
      </c>
    </row>
    <row r="106" spans="1:6" x14ac:dyDescent="0.35">
      <c r="A106" s="2">
        <v>1208101004</v>
      </c>
      <c r="B106" s="6" t="s">
        <v>504</v>
      </c>
      <c r="C106" s="2" t="s">
        <v>505</v>
      </c>
      <c r="D106" s="4">
        <v>17.930489596000001</v>
      </c>
      <c r="E106" s="4">
        <v>17.841283180000001</v>
      </c>
      <c r="F106" s="4">
        <v>8.9206415999999997E-2</v>
      </c>
    </row>
    <row r="107" spans="1:6" x14ac:dyDescent="0.35">
      <c r="A107" s="2">
        <v>1208101009</v>
      </c>
      <c r="B107" s="6" t="s">
        <v>506</v>
      </c>
      <c r="C107" s="2" t="s">
        <v>505</v>
      </c>
      <c r="D107" s="4">
        <v>18.17088</v>
      </c>
      <c r="E107" s="4">
        <v>18.17088</v>
      </c>
      <c r="F107" s="4">
        <v>0</v>
      </c>
    </row>
    <row r="108" spans="1:6" x14ac:dyDescent="0.35">
      <c r="A108" s="2">
        <v>1208101013</v>
      </c>
      <c r="B108" s="6" t="s">
        <v>507</v>
      </c>
      <c r="C108" s="2" t="s">
        <v>505</v>
      </c>
      <c r="D108" s="4">
        <v>26.32659456</v>
      </c>
      <c r="E108" s="4">
        <v>25.025279999999999</v>
      </c>
      <c r="F108" s="4">
        <v>1.30131456</v>
      </c>
    </row>
    <row r="109" spans="1:6" x14ac:dyDescent="0.35">
      <c r="A109" s="2">
        <v>1208101016</v>
      </c>
      <c r="B109" s="6" t="s">
        <v>508</v>
      </c>
      <c r="C109" s="2" t="s">
        <v>505</v>
      </c>
      <c r="D109" s="4">
        <v>17.26688</v>
      </c>
      <c r="E109" s="4">
        <v>17.26688</v>
      </c>
      <c r="F109" s="4">
        <v>0</v>
      </c>
    </row>
    <row r="110" spans="1:6" x14ac:dyDescent="0.35">
      <c r="A110" s="2">
        <v>1208101018</v>
      </c>
      <c r="B110" s="6" t="s">
        <v>509</v>
      </c>
      <c r="C110" s="2" t="s">
        <v>505</v>
      </c>
      <c r="D110" s="4">
        <v>22.7744</v>
      </c>
      <c r="E110" s="4">
        <v>22.7744</v>
      </c>
      <c r="F110" s="4">
        <v>0</v>
      </c>
    </row>
    <row r="111" spans="1:6" x14ac:dyDescent="0.35">
      <c r="A111" s="2">
        <v>1208101023</v>
      </c>
      <c r="B111" s="6" t="s">
        <v>510</v>
      </c>
      <c r="C111" s="2" t="s">
        <v>505</v>
      </c>
      <c r="D111" s="4">
        <v>25.48704</v>
      </c>
      <c r="E111" s="4">
        <v>25.48704</v>
      </c>
      <c r="F111" s="4">
        <v>0</v>
      </c>
    </row>
    <row r="112" spans="1:6" x14ac:dyDescent="0.35">
      <c r="A112" s="2">
        <v>1208101031</v>
      </c>
      <c r="B112" s="6" t="s">
        <v>511</v>
      </c>
      <c r="C112" s="2" t="s">
        <v>505</v>
      </c>
      <c r="D112" s="4">
        <v>24.77771392</v>
      </c>
      <c r="E112" s="4">
        <v>23.552959999999999</v>
      </c>
      <c r="F112" s="4">
        <v>1.2247539199999999</v>
      </c>
    </row>
    <row r="113" spans="1:6" x14ac:dyDescent="0.35">
      <c r="A113" s="2">
        <v>1208101034</v>
      </c>
      <c r="B113" s="6" t="s">
        <v>512</v>
      </c>
      <c r="C113" s="2" t="s">
        <v>505</v>
      </c>
      <c r="D113" s="4">
        <v>32.38914432</v>
      </c>
      <c r="E113" s="4">
        <v>30.788160000000001</v>
      </c>
      <c r="F113" s="4">
        <v>1.60098432</v>
      </c>
    </row>
    <row r="114" spans="1:6" x14ac:dyDescent="0.35">
      <c r="A114" s="2">
        <v>1208101035</v>
      </c>
      <c r="B114" s="6" t="s">
        <v>513</v>
      </c>
      <c r="C114" s="2" t="s">
        <v>505</v>
      </c>
      <c r="D114" s="4">
        <v>17.89536</v>
      </c>
      <c r="E114" s="4">
        <v>17.89536</v>
      </c>
      <c r="F114" s="4">
        <v>0</v>
      </c>
    </row>
    <row r="115" spans="1:6" x14ac:dyDescent="0.35">
      <c r="A115" s="2">
        <v>1208101036</v>
      </c>
      <c r="B115" s="6" t="s">
        <v>514</v>
      </c>
      <c r="C115" s="2" t="s">
        <v>505</v>
      </c>
      <c r="D115" s="4">
        <v>41.681280000000001</v>
      </c>
      <c r="E115" s="4">
        <v>41.681280000000001</v>
      </c>
      <c r="F115" s="4">
        <v>0</v>
      </c>
    </row>
    <row r="116" spans="1:6" x14ac:dyDescent="0.35">
      <c r="A116" s="2">
        <v>1208101038</v>
      </c>
      <c r="B116" s="6" t="s">
        <v>515</v>
      </c>
      <c r="C116" s="2" t="s">
        <v>505</v>
      </c>
      <c r="D116" s="4">
        <v>37.988871359999997</v>
      </c>
      <c r="E116" s="4">
        <v>37.799872000000001</v>
      </c>
      <c r="F116" s="4">
        <v>0.18899936000000001</v>
      </c>
    </row>
    <row r="117" spans="1:6" x14ac:dyDescent="0.35">
      <c r="A117" s="2">
        <v>1208101039</v>
      </c>
      <c r="B117" s="6" t="s">
        <v>516</v>
      </c>
      <c r="C117" s="2" t="s">
        <v>505</v>
      </c>
      <c r="D117" s="4">
        <v>25.48704</v>
      </c>
      <c r="E117" s="4">
        <v>25.48704</v>
      </c>
      <c r="F117" s="4">
        <v>0</v>
      </c>
    </row>
    <row r="118" spans="1:6" x14ac:dyDescent="0.35">
      <c r="A118" s="2">
        <v>1208101040</v>
      </c>
      <c r="B118" s="6" t="s">
        <v>517</v>
      </c>
      <c r="C118" s="2" t="s">
        <v>505</v>
      </c>
      <c r="D118" s="4">
        <v>32.145600000000002</v>
      </c>
      <c r="E118" s="4">
        <v>32.145600000000002</v>
      </c>
      <c r="F118" s="4">
        <v>0</v>
      </c>
    </row>
    <row r="119" spans="1:6" x14ac:dyDescent="0.35">
      <c r="A119" s="2">
        <v>1208101042</v>
      </c>
      <c r="B119" s="6" t="s">
        <v>518</v>
      </c>
      <c r="C119" s="2" t="s">
        <v>505</v>
      </c>
      <c r="D119" s="4">
        <v>42.847732800000003</v>
      </c>
      <c r="E119" s="4">
        <v>42.63456</v>
      </c>
      <c r="F119" s="4">
        <v>0.2131728</v>
      </c>
    </row>
    <row r="120" spans="1:6" x14ac:dyDescent="0.35">
      <c r="A120" s="2">
        <v>1208101043</v>
      </c>
      <c r="B120" s="6" t="s">
        <v>519</v>
      </c>
      <c r="C120" s="2" t="s">
        <v>505</v>
      </c>
      <c r="D120" s="4">
        <v>46.186671359999998</v>
      </c>
      <c r="E120" s="4">
        <v>43.903680000000001</v>
      </c>
      <c r="F120" s="4">
        <v>2.28299136</v>
      </c>
    </row>
    <row r="121" spans="1:6" x14ac:dyDescent="0.35">
      <c r="A121" s="2">
        <v>1208101044</v>
      </c>
      <c r="B121" s="6" t="s">
        <v>520</v>
      </c>
      <c r="C121" s="2" t="s">
        <v>505</v>
      </c>
      <c r="D121" s="4">
        <v>26.32659456</v>
      </c>
      <c r="E121" s="4">
        <v>25.025279999999999</v>
      </c>
      <c r="F121" s="4">
        <v>1.30131456</v>
      </c>
    </row>
    <row r="122" spans="1:6" x14ac:dyDescent="0.35">
      <c r="A122" s="2">
        <v>1208101045</v>
      </c>
      <c r="B122" s="6" t="s">
        <v>521</v>
      </c>
      <c r="C122" s="2" t="s">
        <v>505</v>
      </c>
      <c r="D122" s="4">
        <v>21.15142784</v>
      </c>
      <c r="E122" s="4">
        <v>20.105920000000001</v>
      </c>
      <c r="F122" s="4">
        <v>1.04550784</v>
      </c>
    </row>
    <row r="123" spans="1:6" x14ac:dyDescent="0.35">
      <c r="A123" s="2">
        <v>1208101046</v>
      </c>
      <c r="B123" s="6" t="s">
        <v>522</v>
      </c>
      <c r="C123" s="2" t="s">
        <v>505</v>
      </c>
      <c r="D123" s="4">
        <v>24.741356799999998</v>
      </c>
      <c r="E123" s="4">
        <v>23.5184</v>
      </c>
      <c r="F123" s="4">
        <v>1.2229568</v>
      </c>
    </row>
    <row r="124" spans="1:6" x14ac:dyDescent="0.35">
      <c r="A124" s="2">
        <v>1208101047</v>
      </c>
      <c r="B124" s="6" t="s">
        <v>523</v>
      </c>
      <c r="C124" s="2" t="s">
        <v>505</v>
      </c>
      <c r="D124" s="4">
        <v>28.346771199999999</v>
      </c>
      <c r="E124" s="4">
        <v>26.945599999999999</v>
      </c>
      <c r="F124" s="4">
        <v>1.4011712000000001</v>
      </c>
    </row>
    <row r="125" spans="1:6" x14ac:dyDescent="0.35">
      <c r="A125" s="2">
        <v>1208101048</v>
      </c>
      <c r="B125" s="6" t="s">
        <v>524</v>
      </c>
      <c r="C125" s="2" t="s">
        <v>505</v>
      </c>
      <c r="D125" s="4">
        <v>29.831016959999999</v>
      </c>
      <c r="E125" s="4">
        <v>28.356480000000001</v>
      </c>
      <c r="F125" s="4">
        <v>1.47453696</v>
      </c>
    </row>
    <row r="126" spans="1:6" x14ac:dyDescent="0.35">
      <c r="A126" s="2">
        <v>1208101049</v>
      </c>
      <c r="B126" s="6" t="s">
        <v>525</v>
      </c>
      <c r="C126" s="2" t="s">
        <v>505</v>
      </c>
      <c r="D126" s="4">
        <v>50.314551039999998</v>
      </c>
      <c r="E126" s="4">
        <v>47.82752</v>
      </c>
      <c r="F126" s="4">
        <v>2.4870310400000002</v>
      </c>
    </row>
    <row r="127" spans="1:6" x14ac:dyDescent="0.35">
      <c r="A127" s="2">
        <v>1208101050</v>
      </c>
      <c r="B127" s="6" t="s">
        <v>362</v>
      </c>
      <c r="C127" s="2" t="s">
        <v>461</v>
      </c>
      <c r="D127" s="4">
        <v>22.278021500000001</v>
      </c>
      <c r="E127" s="4">
        <v>21.176819999999999</v>
      </c>
      <c r="F127" s="4">
        <v>1.1012014999999999</v>
      </c>
    </row>
    <row r="128" spans="1:6" x14ac:dyDescent="0.35">
      <c r="A128" s="2">
        <v>1208101051</v>
      </c>
      <c r="B128" s="6" t="e">
        <v>#N/A</v>
      </c>
      <c r="C128" s="2" t="e">
        <v>#N/A</v>
      </c>
      <c r="D128" s="4">
        <v>24.59</v>
      </c>
      <c r="E128" s="4">
        <v>24.59</v>
      </c>
    </row>
    <row r="129" spans="1:6" x14ac:dyDescent="0.35">
      <c r="A129" s="2">
        <v>1208102003</v>
      </c>
      <c r="B129" s="6" t="s">
        <v>526</v>
      </c>
      <c r="C129" s="2" t="s">
        <v>505</v>
      </c>
      <c r="D129" s="4">
        <v>16.036809600000002</v>
      </c>
      <c r="E129" s="4">
        <v>16.004799999999999</v>
      </c>
      <c r="F129" s="4">
        <v>3.2009599999999999E-2</v>
      </c>
    </row>
    <row r="130" spans="1:6" x14ac:dyDescent="0.35">
      <c r="A130" s="2">
        <v>1208102005</v>
      </c>
      <c r="B130" s="6" t="s">
        <v>527</v>
      </c>
      <c r="C130" s="2" t="s">
        <v>505</v>
      </c>
      <c r="D130" s="4">
        <v>15.8043456</v>
      </c>
      <c r="E130" s="4">
        <v>15.7728</v>
      </c>
      <c r="F130" s="4">
        <v>3.15456E-2</v>
      </c>
    </row>
    <row r="131" spans="1:6" x14ac:dyDescent="0.35">
      <c r="A131" s="2">
        <v>1208102006</v>
      </c>
      <c r="B131" s="6" t="s">
        <v>528</v>
      </c>
      <c r="C131" s="2" t="s">
        <v>505</v>
      </c>
      <c r="D131" s="4">
        <v>15.8043456</v>
      </c>
      <c r="E131" s="4">
        <v>15.7728</v>
      </c>
      <c r="F131" s="4">
        <v>3.15456E-2</v>
      </c>
    </row>
    <row r="132" spans="1:6" x14ac:dyDescent="0.35">
      <c r="A132" s="2">
        <v>1208102012</v>
      </c>
      <c r="B132" s="6" t="s">
        <v>529</v>
      </c>
      <c r="C132" s="2" t="s">
        <v>505</v>
      </c>
      <c r="D132" s="4">
        <v>28.376639999999998</v>
      </c>
      <c r="E132" s="4">
        <v>28.32</v>
      </c>
      <c r="F132" s="4">
        <v>5.6640000000000003E-2</v>
      </c>
    </row>
    <row r="133" spans="1:6" x14ac:dyDescent="0.35">
      <c r="A133" s="2">
        <v>1208102013</v>
      </c>
      <c r="B133" s="6" t="s">
        <v>530</v>
      </c>
      <c r="C133" s="2" t="s">
        <v>505</v>
      </c>
      <c r="D133" s="4">
        <v>15.8043456</v>
      </c>
      <c r="E133" s="4">
        <v>15.7728</v>
      </c>
      <c r="F133" s="4">
        <v>3.15456E-2</v>
      </c>
    </row>
    <row r="134" spans="1:6" x14ac:dyDescent="0.35">
      <c r="A134" s="2">
        <v>1208102014</v>
      </c>
      <c r="B134" s="6" t="s">
        <v>531</v>
      </c>
      <c r="C134" s="2" t="s">
        <v>505</v>
      </c>
      <c r="D134" s="4">
        <v>15.8043456</v>
      </c>
      <c r="E134" s="4">
        <v>15.7728</v>
      </c>
      <c r="F134" s="4">
        <v>3.15456E-2</v>
      </c>
    </row>
    <row r="135" spans="1:6" x14ac:dyDescent="0.35">
      <c r="A135" s="2">
        <v>1208102015</v>
      </c>
      <c r="B135" s="6" t="s">
        <v>532</v>
      </c>
      <c r="C135" s="2" t="s">
        <v>505</v>
      </c>
      <c r="D135" s="4">
        <v>15.8043456</v>
      </c>
      <c r="E135" s="4">
        <v>15.7728</v>
      </c>
      <c r="F135" s="4">
        <v>3.15456E-2</v>
      </c>
    </row>
    <row r="136" spans="1:6" x14ac:dyDescent="0.35">
      <c r="A136" s="2">
        <v>1208102016</v>
      </c>
      <c r="B136" s="6" t="s">
        <v>533</v>
      </c>
      <c r="C136" s="2" t="s">
        <v>505</v>
      </c>
      <c r="D136" s="4">
        <v>15.8043456</v>
      </c>
      <c r="E136" s="4">
        <v>15.7728</v>
      </c>
      <c r="F136" s="4">
        <v>3.15456E-2</v>
      </c>
    </row>
    <row r="137" spans="1:6" x14ac:dyDescent="0.35">
      <c r="A137" s="2">
        <v>1208102017</v>
      </c>
      <c r="B137" s="6" t="s">
        <v>534</v>
      </c>
      <c r="C137" s="2" t="s">
        <v>505</v>
      </c>
      <c r="D137" s="4">
        <v>15.8043456</v>
      </c>
      <c r="E137" s="4">
        <v>15.7728</v>
      </c>
      <c r="F137" s="4">
        <v>3.15456E-2</v>
      </c>
    </row>
    <row r="138" spans="1:6" x14ac:dyDescent="0.35">
      <c r="A138" s="2">
        <v>1208102018</v>
      </c>
      <c r="B138" s="6" t="s">
        <v>535</v>
      </c>
      <c r="C138" s="2" t="s">
        <v>505</v>
      </c>
      <c r="D138" s="4">
        <v>15.8043456</v>
      </c>
      <c r="E138" s="4">
        <v>15.7728</v>
      </c>
      <c r="F138" s="4">
        <v>3.15456E-2</v>
      </c>
    </row>
    <row r="139" spans="1:6" x14ac:dyDescent="0.35">
      <c r="A139" s="2">
        <v>1208102019</v>
      </c>
      <c r="B139" s="6" t="s">
        <v>536</v>
      </c>
      <c r="C139" s="2" t="s">
        <v>505</v>
      </c>
      <c r="D139" s="4">
        <v>15.8043456</v>
      </c>
      <c r="E139" s="4">
        <v>15.7728</v>
      </c>
      <c r="F139" s="4">
        <v>3.15456E-2</v>
      </c>
    </row>
    <row r="140" spans="1:6" x14ac:dyDescent="0.35">
      <c r="A140" s="2">
        <v>1208102020</v>
      </c>
      <c r="B140" s="6" t="s">
        <v>537</v>
      </c>
      <c r="C140" s="2" t="s">
        <v>505</v>
      </c>
      <c r="D140" s="4">
        <v>26.773440000000001</v>
      </c>
      <c r="E140" s="4">
        <v>26.72</v>
      </c>
      <c r="F140" s="4">
        <v>5.3440000000000001E-2</v>
      </c>
    </row>
    <row r="141" spans="1:6" x14ac:dyDescent="0.35">
      <c r="A141" s="2">
        <v>1261020001</v>
      </c>
      <c r="B141" s="6" t="s">
        <v>538</v>
      </c>
      <c r="C141" s="2" t="s">
        <v>461</v>
      </c>
      <c r="D141" s="4">
        <v>69.425240595000005</v>
      </c>
      <c r="E141" s="4">
        <v>67.207396509999995</v>
      </c>
      <c r="F141" s="4">
        <v>2.2178440849999999</v>
      </c>
    </row>
    <row r="142" spans="1:6" x14ac:dyDescent="0.35">
      <c r="A142" s="2">
        <v>1261020003</v>
      </c>
      <c r="B142" s="6" t="s">
        <v>539</v>
      </c>
      <c r="C142" s="2" t="s">
        <v>461</v>
      </c>
      <c r="D142" s="4">
        <v>99.297658616999996</v>
      </c>
      <c r="E142" s="4">
        <v>96.125516570000002</v>
      </c>
      <c r="F142" s="4">
        <v>3.1721420469999999</v>
      </c>
    </row>
    <row r="143" spans="1:6" x14ac:dyDescent="0.35">
      <c r="A143" s="2">
        <v>1261020004</v>
      </c>
      <c r="B143" s="6" t="s">
        <v>540</v>
      </c>
      <c r="C143" s="2" t="s">
        <v>461</v>
      </c>
      <c r="D143" s="4">
        <v>81.226489595000004</v>
      </c>
      <c r="E143" s="4">
        <v>78.631645300000002</v>
      </c>
      <c r="F143" s="4">
        <v>2.5948442950000001</v>
      </c>
    </row>
    <row r="144" spans="1:6" x14ac:dyDescent="0.35">
      <c r="A144" s="2">
        <v>1261020005</v>
      </c>
      <c r="B144" s="6" t="s">
        <v>541</v>
      </c>
      <c r="C144" s="2" t="s">
        <v>461</v>
      </c>
      <c r="D144" s="4">
        <v>76.519418928999997</v>
      </c>
      <c r="E144" s="4">
        <v>74.074945720000002</v>
      </c>
      <c r="F144" s="4">
        <v>2.4444732089999999</v>
      </c>
    </row>
    <row r="145" spans="1:6" x14ac:dyDescent="0.35">
      <c r="A145" s="2">
        <v>1261020006</v>
      </c>
      <c r="B145" s="6" t="s">
        <v>542</v>
      </c>
      <c r="C145" s="2" t="s">
        <v>477</v>
      </c>
      <c r="D145" s="4">
        <v>9.8576227500000009</v>
      </c>
      <c r="E145" s="4">
        <v>9.6378791059999998</v>
      </c>
      <c r="F145" s="4">
        <v>0.21974364399999999</v>
      </c>
    </row>
    <row r="146" spans="1:6" x14ac:dyDescent="0.35">
      <c r="A146" s="2">
        <v>1261020007</v>
      </c>
      <c r="B146" s="6" t="s">
        <v>543</v>
      </c>
      <c r="C146" s="2" t="s">
        <v>477</v>
      </c>
      <c r="D146" s="4">
        <v>6.6481641810000003</v>
      </c>
      <c r="E146" s="4">
        <v>6.4999649789999996</v>
      </c>
      <c r="F146" s="4">
        <v>0.148199202</v>
      </c>
    </row>
    <row r="147" spans="1:6" x14ac:dyDescent="0.35">
      <c r="A147" s="2">
        <v>1261020009</v>
      </c>
      <c r="B147" s="6" t="s">
        <v>544</v>
      </c>
      <c r="C147" s="2" t="s">
        <v>477</v>
      </c>
      <c r="D147" s="4">
        <v>4.5849408140000003</v>
      </c>
      <c r="E147" s="4">
        <v>4.4827344680000003</v>
      </c>
      <c r="F147" s="4">
        <v>0.102206346</v>
      </c>
    </row>
    <row r="148" spans="1:6" x14ac:dyDescent="0.35">
      <c r="A148" s="2">
        <v>1261020010</v>
      </c>
      <c r="B148" s="6" t="s">
        <v>545</v>
      </c>
      <c r="C148" s="2" t="s">
        <v>477</v>
      </c>
      <c r="D148" s="4">
        <v>24.88365903</v>
      </c>
      <c r="E148" s="4">
        <v>24.88365903</v>
      </c>
      <c r="F148" s="4">
        <v>0</v>
      </c>
    </row>
    <row r="149" spans="1:6" x14ac:dyDescent="0.35">
      <c r="A149" s="2">
        <v>1261020011</v>
      </c>
      <c r="B149" s="6" t="s">
        <v>546</v>
      </c>
      <c r="C149" s="2" t="s">
        <v>461</v>
      </c>
      <c r="D149" s="4">
        <v>60.532049034000003</v>
      </c>
      <c r="E149" s="4">
        <v>58.598304970000001</v>
      </c>
      <c r="F149" s="4">
        <v>1.9337440640000001</v>
      </c>
    </row>
    <row r="150" spans="1:6" x14ac:dyDescent="0.35">
      <c r="A150" s="2">
        <v>1261020012</v>
      </c>
      <c r="B150" s="6" t="s">
        <v>547</v>
      </c>
      <c r="C150" s="2" t="s">
        <v>461</v>
      </c>
      <c r="D150" s="4">
        <v>57.799956854000001</v>
      </c>
      <c r="E150" s="4">
        <v>55.953491630000002</v>
      </c>
      <c r="F150" s="4">
        <v>1.8464652239999999</v>
      </c>
    </row>
    <row r="151" spans="1:6" x14ac:dyDescent="0.35">
      <c r="A151" s="2">
        <v>1261020013</v>
      </c>
      <c r="B151" s="6" t="s">
        <v>548</v>
      </c>
      <c r="C151" s="2" t="s">
        <v>461</v>
      </c>
      <c r="D151" s="4">
        <v>65.442868950999994</v>
      </c>
      <c r="E151" s="4">
        <v>63.35224487</v>
      </c>
      <c r="F151" s="4">
        <v>2.0906240810000001</v>
      </c>
    </row>
    <row r="152" spans="1:6" x14ac:dyDescent="0.35">
      <c r="A152" s="2">
        <v>1261020014</v>
      </c>
      <c r="B152" s="6" t="s">
        <v>549</v>
      </c>
      <c r="C152" s="2" t="s">
        <v>461</v>
      </c>
      <c r="D152" s="4">
        <v>69.087202078000004</v>
      </c>
      <c r="E152" s="4">
        <v>66.880156900000003</v>
      </c>
      <c r="F152" s="4">
        <v>2.207045178</v>
      </c>
    </row>
    <row r="153" spans="1:6" x14ac:dyDescent="0.35">
      <c r="A153" s="2">
        <v>1261020015</v>
      </c>
      <c r="B153" s="6" t="s">
        <v>550</v>
      </c>
      <c r="C153" s="2" t="s">
        <v>461</v>
      </c>
      <c r="D153" s="4">
        <v>72.851932481000006</v>
      </c>
      <c r="E153" s="4">
        <v>70.52462002</v>
      </c>
      <c r="F153" s="4">
        <v>2.327312461</v>
      </c>
    </row>
    <row r="154" spans="1:6" x14ac:dyDescent="0.35">
      <c r="A154" s="2">
        <v>1261020016</v>
      </c>
      <c r="B154" s="6" t="s">
        <v>551</v>
      </c>
      <c r="C154" s="2" t="s">
        <v>461</v>
      </c>
      <c r="D154" s="4">
        <v>76.755582821000004</v>
      </c>
      <c r="E154" s="4">
        <v>74.303565169999999</v>
      </c>
      <c r="F154" s="4">
        <v>2.4520176509999998</v>
      </c>
    </row>
    <row r="155" spans="1:6" x14ac:dyDescent="0.35">
      <c r="A155" s="2">
        <v>1261020017</v>
      </c>
      <c r="B155" s="6" t="s">
        <v>552</v>
      </c>
      <c r="C155" s="2" t="s">
        <v>461</v>
      </c>
      <c r="D155" s="4">
        <v>83.284820056000001</v>
      </c>
      <c r="E155" s="4">
        <v>80.624220769999994</v>
      </c>
      <c r="F155" s="4">
        <v>2.6605992860000001</v>
      </c>
    </row>
    <row r="156" spans="1:6" x14ac:dyDescent="0.35">
      <c r="A156" s="2">
        <v>1261020018</v>
      </c>
      <c r="B156" s="6" t="s">
        <v>553</v>
      </c>
      <c r="C156" s="2" t="s">
        <v>461</v>
      </c>
      <c r="D156" s="4">
        <v>96.757739021000006</v>
      </c>
      <c r="E156" s="4">
        <v>93.666736709999995</v>
      </c>
      <c r="F156" s="4">
        <v>3.091002311</v>
      </c>
    </row>
    <row r="157" spans="1:6" x14ac:dyDescent="0.35">
      <c r="A157" s="2">
        <v>1261020019</v>
      </c>
      <c r="B157" s="6" t="s">
        <v>554</v>
      </c>
      <c r="C157" s="2" t="s">
        <v>461</v>
      </c>
      <c r="D157" s="4">
        <v>128.095762393</v>
      </c>
      <c r="E157" s="4">
        <v>124.0036422</v>
      </c>
      <c r="F157" s="4">
        <v>4.0921201930000004</v>
      </c>
    </row>
    <row r="158" spans="1:6" x14ac:dyDescent="0.35">
      <c r="A158" s="2">
        <v>1261020020</v>
      </c>
      <c r="B158" s="6" t="s">
        <v>555</v>
      </c>
      <c r="C158" s="2" t="s">
        <v>461</v>
      </c>
      <c r="D158" s="4">
        <v>157.07677748399999</v>
      </c>
      <c r="E158" s="4">
        <v>152.05883589999999</v>
      </c>
      <c r="F158" s="4">
        <v>5.0179415839999999</v>
      </c>
    </row>
    <row r="159" spans="1:6" x14ac:dyDescent="0.35">
      <c r="A159" s="2">
        <v>1261020021</v>
      </c>
      <c r="B159" s="6" t="s">
        <v>556</v>
      </c>
      <c r="C159" s="2" t="s">
        <v>461</v>
      </c>
      <c r="D159" s="4">
        <v>166.90999394400001</v>
      </c>
      <c r="E159" s="4">
        <v>161.5779225</v>
      </c>
      <c r="F159" s="4">
        <v>5.3320714440000003</v>
      </c>
    </row>
    <row r="160" spans="1:6" x14ac:dyDescent="0.35">
      <c r="A160" s="2">
        <v>1261020022</v>
      </c>
      <c r="B160" s="6" t="s">
        <v>557</v>
      </c>
      <c r="C160" s="2" t="s">
        <v>461</v>
      </c>
      <c r="D160" s="4">
        <v>245.862827192</v>
      </c>
      <c r="E160" s="4">
        <v>238.00854519999999</v>
      </c>
      <c r="F160" s="4">
        <v>7.8542819919999998</v>
      </c>
    </row>
    <row r="161" spans="1:6" x14ac:dyDescent="0.35">
      <c r="A161" s="2">
        <v>1261020023</v>
      </c>
      <c r="B161" s="6" t="s">
        <v>558</v>
      </c>
      <c r="C161" s="2" t="s">
        <v>461</v>
      </c>
      <c r="D161" s="4">
        <v>67.695687331000002</v>
      </c>
      <c r="E161" s="4">
        <v>65.533095189999997</v>
      </c>
      <c r="F161" s="4">
        <v>2.1625921410000002</v>
      </c>
    </row>
    <row r="162" spans="1:6" x14ac:dyDescent="0.35">
      <c r="A162" s="2">
        <v>1261020024</v>
      </c>
      <c r="B162" s="6" t="s">
        <v>559</v>
      </c>
      <c r="C162" s="2" t="s">
        <v>461</v>
      </c>
      <c r="D162" s="4">
        <v>71.722050292999995</v>
      </c>
      <c r="E162" s="4">
        <v>69.430832809999998</v>
      </c>
      <c r="F162" s="4">
        <v>2.2912174830000001</v>
      </c>
    </row>
    <row r="163" spans="1:6" x14ac:dyDescent="0.35">
      <c r="A163" s="2">
        <v>1261020025</v>
      </c>
      <c r="B163" s="6" t="s">
        <v>560</v>
      </c>
      <c r="C163" s="2" t="s">
        <v>477</v>
      </c>
      <c r="D163" s="4">
        <v>1.4849057919999999</v>
      </c>
      <c r="E163" s="4">
        <v>1.4008545210000001</v>
      </c>
      <c r="F163" s="4">
        <v>8.4051270999999997E-2</v>
      </c>
    </row>
    <row r="164" spans="1:6" x14ac:dyDescent="0.35">
      <c r="A164" s="2">
        <v>1261020026</v>
      </c>
      <c r="B164" s="6" t="s">
        <v>561</v>
      </c>
      <c r="C164" s="2" t="s">
        <v>15</v>
      </c>
      <c r="D164" s="4">
        <v>1466.7955449999999</v>
      </c>
      <c r="E164" s="4">
        <v>1466.7955449999999</v>
      </c>
      <c r="F164" s="4">
        <v>0</v>
      </c>
    </row>
    <row r="165" spans="1:6" x14ac:dyDescent="0.35">
      <c r="A165" s="2">
        <v>1261020027</v>
      </c>
      <c r="B165" s="6" t="s">
        <v>562</v>
      </c>
      <c r="C165" s="2" t="s">
        <v>461</v>
      </c>
      <c r="D165" s="4">
        <v>99.297658616999996</v>
      </c>
      <c r="E165" s="4">
        <v>96.125516570000002</v>
      </c>
      <c r="F165" s="4">
        <v>3.1721420469999999</v>
      </c>
    </row>
    <row r="166" spans="1:6" x14ac:dyDescent="0.35">
      <c r="A166" s="2">
        <v>1261030007</v>
      </c>
      <c r="B166" s="6" t="s">
        <v>563</v>
      </c>
      <c r="C166" s="2" t="s">
        <v>15</v>
      </c>
      <c r="D166" s="4">
        <v>63.866915810000002</v>
      </c>
      <c r="E166" s="4">
        <v>63.866915810000002</v>
      </c>
      <c r="F166" s="4">
        <v>0</v>
      </c>
    </row>
    <row r="167" spans="1:6" x14ac:dyDescent="0.35">
      <c r="A167" s="2">
        <v>1261030009</v>
      </c>
      <c r="B167" s="6" t="s">
        <v>564</v>
      </c>
      <c r="C167" s="2" t="s">
        <v>15</v>
      </c>
      <c r="D167" s="4">
        <v>781.91440780000005</v>
      </c>
      <c r="E167" s="4">
        <v>781.91440780000005</v>
      </c>
      <c r="F167" s="4">
        <v>0</v>
      </c>
    </row>
    <row r="168" spans="1:6" x14ac:dyDescent="0.35">
      <c r="A168" s="2">
        <v>1261030010</v>
      </c>
      <c r="B168" s="6" t="s">
        <v>565</v>
      </c>
      <c r="C168" s="2" t="s">
        <v>15</v>
      </c>
      <c r="D168" s="4">
        <v>5464.0182219999997</v>
      </c>
      <c r="E168" s="4">
        <v>5453.1119980000003</v>
      </c>
      <c r="F168" s="4">
        <v>10.906224</v>
      </c>
    </row>
    <row r="169" spans="1:6" x14ac:dyDescent="0.35">
      <c r="A169" s="2">
        <v>1261030013</v>
      </c>
      <c r="B169" s="6" t="s">
        <v>566</v>
      </c>
      <c r="C169" s="2" t="s">
        <v>15</v>
      </c>
      <c r="D169" s="4">
        <v>3527.4891695470001</v>
      </c>
      <c r="E169" s="4">
        <v>3520.448273</v>
      </c>
      <c r="F169" s="4">
        <v>7.040896547</v>
      </c>
    </row>
    <row r="170" spans="1:6" x14ac:dyDescent="0.35">
      <c r="A170" s="2">
        <v>1261030014</v>
      </c>
      <c r="B170" s="6" t="s">
        <v>567</v>
      </c>
      <c r="C170" s="2" t="s">
        <v>432</v>
      </c>
      <c r="D170" s="4">
        <v>380</v>
      </c>
      <c r="E170" s="4">
        <v>380</v>
      </c>
    </row>
    <row r="171" spans="1:6" x14ac:dyDescent="0.35">
      <c r="A171" s="2">
        <v>1261040004</v>
      </c>
      <c r="B171" s="6" t="s">
        <v>568</v>
      </c>
      <c r="C171" s="2" t="s">
        <v>477</v>
      </c>
      <c r="D171" s="4">
        <v>70</v>
      </c>
      <c r="E171" s="4">
        <v>70</v>
      </c>
      <c r="F171" s="4">
        <v>0</v>
      </c>
    </row>
    <row r="172" spans="1:6" x14ac:dyDescent="0.35">
      <c r="A172" s="2">
        <v>1261040005</v>
      </c>
      <c r="B172" s="6" t="s">
        <v>569</v>
      </c>
      <c r="C172" s="2" t="s">
        <v>477</v>
      </c>
      <c r="D172" s="4">
        <v>25.535896900000001</v>
      </c>
      <c r="E172" s="4">
        <v>25.535896900000001</v>
      </c>
      <c r="F172" s="4">
        <v>0</v>
      </c>
    </row>
    <row r="173" spans="1:6" x14ac:dyDescent="0.35">
      <c r="A173" s="2">
        <v>1261040006</v>
      </c>
      <c r="B173" s="6" t="s">
        <v>570</v>
      </c>
      <c r="C173" s="2" t="s">
        <v>477</v>
      </c>
      <c r="D173" s="4">
        <v>6.7857124049999999</v>
      </c>
      <c r="E173" s="4">
        <v>6.6344470129999999</v>
      </c>
      <c r="F173" s="4">
        <v>0.151265392</v>
      </c>
    </row>
    <row r="174" spans="1:6" x14ac:dyDescent="0.35">
      <c r="A174" s="2">
        <v>1261040016</v>
      </c>
      <c r="B174" s="6" t="s">
        <v>571</v>
      </c>
      <c r="C174" s="2" t="s">
        <v>477</v>
      </c>
      <c r="D174" s="4">
        <v>40</v>
      </c>
      <c r="E174" s="4">
        <v>40</v>
      </c>
      <c r="F174" s="4">
        <v>0</v>
      </c>
    </row>
    <row r="175" spans="1:6" x14ac:dyDescent="0.35">
      <c r="A175" s="2">
        <v>1261040017</v>
      </c>
      <c r="B175" s="6" t="s">
        <v>572</v>
      </c>
      <c r="C175" s="2" t="s">
        <v>461</v>
      </c>
      <c r="D175" s="4">
        <v>94</v>
      </c>
      <c r="E175" s="4">
        <v>94</v>
      </c>
      <c r="F175" s="4">
        <v>0</v>
      </c>
    </row>
    <row r="176" spans="1:6" x14ac:dyDescent="0.35">
      <c r="A176" s="2">
        <v>1261040018</v>
      </c>
      <c r="B176" s="6" t="s">
        <v>573</v>
      </c>
      <c r="C176" s="2" t="s">
        <v>461</v>
      </c>
      <c r="D176" s="4">
        <v>243</v>
      </c>
      <c r="E176" s="4">
        <v>243</v>
      </c>
      <c r="F176" s="4">
        <v>0</v>
      </c>
    </row>
    <row r="177" spans="1:6" x14ac:dyDescent="0.35">
      <c r="A177" s="2">
        <v>1261040019</v>
      </c>
      <c r="B177" s="6" t="s">
        <v>574</v>
      </c>
      <c r="C177" s="2" t="s">
        <v>461</v>
      </c>
      <c r="D177" s="4">
        <v>107</v>
      </c>
      <c r="E177" s="4">
        <v>107</v>
      </c>
      <c r="F177" s="4">
        <v>0</v>
      </c>
    </row>
    <row r="178" spans="1:6" x14ac:dyDescent="0.35">
      <c r="A178" s="2">
        <v>1261040020</v>
      </c>
      <c r="B178" s="6" t="s">
        <v>575</v>
      </c>
      <c r="C178" s="2" t="s">
        <v>477</v>
      </c>
      <c r="D178" s="4">
        <v>392.01736390000002</v>
      </c>
      <c r="E178" s="4">
        <v>392.01736390000002</v>
      </c>
      <c r="F178" s="4">
        <v>0</v>
      </c>
    </row>
    <row r="179" spans="1:6" x14ac:dyDescent="0.35">
      <c r="A179" s="2">
        <v>1261040021</v>
      </c>
      <c r="B179" s="6" t="s">
        <v>576</v>
      </c>
      <c r="C179" s="2" t="s">
        <v>461</v>
      </c>
      <c r="D179" s="4">
        <v>124</v>
      </c>
      <c r="E179" s="4">
        <v>124</v>
      </c>
      <c r="F179" s="4">
        <v>0</v>
      </c>
    </row>
    <row r="180" spans="1:6" x14ac:dyDescent="0.35">
      <c r="A180" s="2">
        <v>1261040022</v>
      </c>
      <c r="B180" s="6" t="s">
        <v>577</v>
      </c>
      <c r="C180" s="2" t="s">
        <v>461</v>
      </c>
      <c r="D180" s="4">
        <v>124</v>
      </c>
      <c r="E180" s="4">
        <v>124</v>
      </c>
      <c r="F180" s="4">
        <v>0</v>
      </c>
    </row>
    <row r="181" spans="1:6" x14ac:dyDescent="0.35">
      <c r="A181" s="2">
        <v>1261040023</v>
      </c>
      <c r="B181" s="6" t="s">
        <v>578</v>
      </c>
      <c r="C181" s="2" t="s">
        <v>477</v>
      </c>
      <c r="D181" s="4">
        <v>100.395321149</v>
      </c>
      <c r="E181" s="4">
        <v>98.6201583</v>
      </c>
      <c r="F181" s="4">
        <v>1.775162849</v>
      </c>
    </row>
    <row r="182" spans="1:6" x14ac:dyDescent="0.35">
      <c r="A182" s="2">
        <v>1261040024</v>
      </c>
      <c r="B182" s="6" t="s">
        <v>579</v>
      </c>
      <c r="C182" s="2" t="s">
        <v>477</v>
      </c>
      <c r="D182" s="4">
        <v>258.43200000000002</v>
      </c>
      <c r="E182" s="4">
        <v>215.36</v>
      </c>
      <c r="F182" s="4">
        <v>43.072000000000003</v>
      </c>
    </row>
    <row r="183" spans="1:6" x14ac:dyDescent="0.35">
      <c r="A183" s="2">
        <v>1261040025</v>
      </c>
      <c r="B183" s="6" t="s">
        <v>580</v>
      </c>
      <c r="C183" s="2" t="s">
        <v>477</v>
      </c>
      <c r="D183" s="4">
        <v>215.79071999999999</v>
      </c>
      <c r="E183" s="4">
        <v>215.36</v>
      </c>
      <c r="F183" s="4">
        <v>0.43071999999999999</v>
      </c>
    </row>
    <row r="184" spans="1:6" x14ac:dyDescent="0.35">
      <c r="A184" s="2">
        <v>1261040026</v>
      </c>
      <c r="B184" s="6" t="s">
        <v>581</v>
      </c>
      <c r="C184" s="2" t="s">
        <v>477</v>
      </c>
      <c r="D184" s="4">
        <v>403.2</v>
      </c>
      <c r="E184" s="4">
        <v>336</v>
      </c>
      <c r="F184" s="4">
        <v>67.2</v>
      </c>
    </row>
    <row r="185" spans="1:6" x14ac:dyDescent="0.35">
      <c r="A185" s="2">
        <v>1261040027</v>
      </c>
      <c r="B185" s="6" t="e">
        <v>#N/A</v>
      </c>
      <c r="C185" s="2" t="e">
        <v>#N/A</v>
      </c>
      <c r="D185" s="4">
        <v>10.96</v>
      </c>
      <c r="E185" s="4">
        <v>10.96</v>
      </c>
    </row>
    <row r="186" spans="1:6" x14ac:dyDescent="0.35">
      <c r="A186" s="2">
        <v>1262070001</v>
      </c>
      <c r="B186" s="6" t="s">
        <v>582</v>
      </c>
      <c r="C186" s="2" t="s">
        <v>461</v>
      </c>
      <c r="D186" s="4">
        <v>3.7677383199999999</v>
      </c>
      <c r="E186" s="4">
        <v>3.7677383199999999</v>
      </c>
      <c r="F186" s="4">
        <v>0</v>
      </c>
    </row>
    <row r="187" spans="1:6" x14ac:dyDescent="0.35">
      <c r="A187" s="2">
        <v>1262070002</v>
      </c>
      <c r="B187" s="6" t="s">
        <v>583</v>
      </c>
      <c r="C187" s="2" t="s">
        <v>461</v>
      </c>
      <c r="D187" s="4">
        <v>3.3037753030000001</v>
      </c>
      <c r="E187" s="4">
        <v>3.3037753030000001</v>
      </c>
      <c r="F187" s="4">
        <v>0</v>
      </c>
    </row>
    <row r="188" spans="1:6" x14ac:dyDescent="0.35">
      <c r="A188" s="2">
        <v>1262070003</v>
      </c>
      <c r="B188" s="6" t="s">
        <v>584</v>
      </c>
      <c r="C188" s="2" t="s">
        <v>461</v>
      </c>
      <c r="D188" s="4">
        <v>4.9511802200000004</v>
      </c>
      <c r="E188" s="4">
        <v>4.9511802200000004</v>
      </c>
      <c r="F188" s="4">
        <v>0</v>
      </c>
    </row>
    <row r="189" spans="1:6" x14ac:dyDescent="0.35">
      <c r="A189" s="2">
        <v>1262070004</v>
      </c>
      <c r="B189" s="6" t="s">
        <v>585</v>
      </c>
      <c r="C189" s="2" t="s">
        <v>461</v>
      </c>
      <c r="D189" s="4">
        <v>5.675141837</v>
      </c>
      <c r="E189" s="4">
        <v>5.675141837</v>
      </c>
      <c r="F189" s="4">
        <v>0</v>
      </c>
    </row>
    <row r="190" spans="1:6" x14ac:dyDescent="0.35">
      <c r="A190" s="2">
        <v>1262070006</v>
      </c>
      <c r="B190" s="6" t="s">
        <v>586</v>
      </c>
      <c r="C190" s="2" t="s">
        <v>461</v>
      </c>
      <c r="D190" s="4">
        <v>0.61</v>
      </c>
      <c r="E190" s="4">
        <v>0.61</v>
      </c>
      <c r="F190" s="4">
        <v>0</v>
      </c>
    </row>
    <row r="191" spans="1:6" x14ac:dyDescent="0.35">
      <c r="A191" s="2">
        <v>1262070008</v>
      </c>
      <c r="B191" s="6" t="s">
        <v>587</v>
      </c>
      <c r="C191" s="2" t="s">
        <v>461</v>
      </c>
      <c r="D191" s="4">
        <v>0.34517055400000002</v>
      </c>
      <c r="E191" s="4">
        <v>0.34517055400000002</v>
      </c>
      <c r="F191" s="4">
        <v>0</v>
      </c>
    </row>
    <row r="192" spans="1:6" x14ac:dyDescent="0.35">
      <c r="A192" s="2">
        <v>1262070009</v>
      </c>
      <c r="B192" s="6" t="s">
        <v>588</v>
      </c>
      <c r="C192" s="2" t="s">
        <v>461</v>
      </c>
      <c r="D192" s="4">
        <v>0.35637739000000002</v>
      </c>
      <c r="E192" s="4">
        <v>0.35637739000000002</v>
      </c>
      <c r="F192" s="4">
        <v>0</v>
      </c>
    </row>
    <row r="193" spans="1:6" x14ac:dyDescent="0.35">
      <c r="A193" s="2">
        <v>1262070010</v>
      </c>
      <c r="B193" s="6" t="s">
        <v>589</v>
      </c>
      <c r="C193" s="2" t="s">
        <v>461</v>
      </c>
      <c r="D193" s="4">
        <v>3.3127407720000002</v>
      </c>
      <c r="E193" s="4">
        <v>3.3127407720000002</v>
      </c>
      <c r="F193" s="4">
        <v>0</v>
      </c>
    </row>
    <row r="194" spans="1:6" x14ac:dyDescent="0.35">
      <c r="A194" s="2">
        <v>1262070011</v>
      </c>
      <c r="B194" s="6" t="s">
        <v>590</v>
      </c>
      <c r="C194" s="2" t="s">
        <v>461</v>
      </c>
      <c r="D194" s="4">
        <v>3.133431393</v>
      </c>
      <c r="E194" s="4">
        <v>3.133431393</v>
      </c>
      <c r="F194" s="4">
        <v>0</v>
      </c>
    </row>
    <row r="195" spans="1:6" x14ac:dyDescent="0.35">
      <c r="A195" s="2">
        <v>1262070012</v>
      </c>
      <c r="B195" s="6" t="s">
        <v>591</v>
      </c>
      <c r="C195" s="2" t="s">
        <v>461</v>
      </c>
      <c r="D195" s="4">
        <v>0.57154864500000002</v>
      </c>
      <c r="E195" s="4">
        <v>0.57154864500000002</v>
      </c>
      <c r="F195" s="4">
        <v>0</v>
      </c>
    </row>
    <row r="196" spans="1:6" x14ac:dyDescent="0.35">
      <c r="A196" s="2">
        <v>1262070013</v>
      </c>
      <c r="B196" s="6" t="s">
        <v>592</v>
      </c>
      <c r="C196" s="2" t="s">
        <v>461</v>
      </c>
      <c r="D196" s="4">
        <v>0.477411221</v>
      </c>
      <c r="E196" s="4">
        <v>0.477411221</v>
      </c>
      <c r="F196" s="4">
        <v>0</v>
      </c>
    </row>
    <row r="197" spans="1:6" x14ac:dyDescent="0.35">
      <c r="A197" s="2">
        <v>1262070015</v>
      </c>
      <c r="B197" s="6" t="s">
        <v>593</v>
      </c>
      <c r="C197" s="2" t="s">
        <v>461</v>
      </c>
      <c r="D197" s="4">
        <v>0.41689430599999999</v>
      </c>
      <c r="E197" s="4">
        <v>0.41689430599999999</v>
      </c>
      <c r="F197" s="4">
        <v>0</v>
      </c>
    </row>
    <row r="198" spans="1:6" x14ac:dyDescent="0.35">
      <c r="A198" s="2">
        <v>1262070016</v>
      </c>
      <c r="B198" s="6" t="s">
        <v>594</v>
      </c>
      <c r="C198" s="2" t="s">
        <v>461</v>
      </c>
      <c r="D198" s="4">
        <v>3.0437767039999999</v>
      </c>
      <c r="E198" s="4">
        <v>3.0437767039999999</v>
      </c>
      <c r="F198" s="4">
        <v>0</v>
      </c>
    </row>
    <row r="199" spans="1:6" x14ac:dyDescent="0.35">
      <c r="A199" s="2">
        <v>1262070017</v>
      </c>
      <c r="B199" s="6" t="s">
        <v>595</v>
      </c>
      <c r="C199" s="2" t="s">
        <v>461</v>
      </c>
      <c r="D199" s="4">
        <v>2.9541220140000002</v>
      </c>
      <c r="E199" s="4">
        <v>2.9541220140000002</v>
      </c>
      <c r="F199" s="4">
        <v>0</v>
      </c>
    </row>
    <row r="200" spans="1:6" x14ac:dyDescent="0.35">
      <c r="A200" s="2">
        <v>1262070018</v>
      </c>
      <c r="B200" s="6" t="s">
        <v>596</v>
      </c>
      <c r="C200" s="2" t="s">
        <v>461</v>
      </c>
      <c r="D200" s="4">
        <v>2.3646424320000001</v>
      </c>
      <c r="E200" s="4">
        <v>2.3646424320000001</v>
      </c>
      <c r="F200" s="4">
        <v>0</v>
      </c>
    </row>
    <row r="201" spans="1:6" x14ac:dyDescent="0.35">
      <c r="A201" s="2">
        <v>1262070019</v>
      </c>
      <c r="B201" s="6" t="s">
        <v>597</v>
      </c>
      <c r="C201" s="2" t="s">
        <v>461</v>
      </c>
      <c r="D201" s="4">
        <v>1.9992995730000001</v>
      </c>
      <c r="E201" s="4">
        <v>1.9992995730000001</v>
      </c>
      <c r="F201" s="4">
        <v>0</v>
      </c>
    </row>
    <row r="202" spans="1:6" x14ac:dyDescent="0.35">
      <c r="A202" s="2">
        <v>1262070020</v>
      </c>
      <c r="B202" s="6" t="s">
        <v>598</v>
      </c>
      <c r="C202" s="2" t="s">
        <v>461</v>
      </c>
      <c r="D202" s="4">
        <v>1.470336906</v>
      </c>
      <c r="E202" s="4">
        <v>1.470336906</v>
      </c>
      <c r="F202" s="4">
        <v>0</v>
      </c>
    </row>
    <row r="203" spans="1:6" x14ac:dyDescent="0.35">
      <c r="A203" s="2">
        <v>1262070021</v>
      </c>
      <c r="B203" s="6" t="s">
        <v>599</v>
      </c>
      <c r="C203" s="2" t="s">
        <v>461</v>
      </c>
      <c r="D203" s="4">
        <v>1.678784058</v>
      </c>
      <c r="E203" s="4">
        <v>1.678784058</v>
      </c>
      <c r="F203" s="4">
        <v>0</v>
      </c>
    </row>
    <row r="204" spans="1:6" x14ac:dyDescent="0.35">
      <c r="A204" s="2">
        <v>1262070022</v>
      </c>
      <c r="B204" s="6" t="s">
        <v>600</v>
      </c>
      <c r="C204" s="2" t="s">
        <v>461</v>
      </c>
      <c r="D204" s="4">
        <v>3.754290117</v>
      </c>
      <c r="E204" s="4">
        <v>3.754290117</v>
      </c>
      <c r="F204" s="4">
        <v>0</v>
      </c>
    </row>
    <row r="205" spans="1:6" x14ac:dyDescent="0.35">
      <c r="A205" s="2">
        <v>1262070023</v>
      </c>
      <c r="B205" s="6" t="s">
        <v>601</v>
      </c>
      <c r="C205" s="2" t="s">
        <v>461</v>
      </c>
      <c r="D205" s="4">
        <v>4.0792883660000001</v>
      </c>
      <c r="E205" s="4">
        <v>4.0792883660000001</v>
      </c>
      <c r="F205" s="4">
        <v>0</v>
      </c>
    </row>
    <row r="206" spans="1:6" x14ac:dyDescent="0.35">
      <c r="A206" s="2">
        <v>1262070024</v>
      </c>
      <c r="B206" s="6" t="s">
        <v>602</v>
      </c>
      <c r="C206" s="2" t="s">
        <v>461</v>
      </c>
      <c r="D206" s="4">
        <v>5.1506619039999997</v>
      </c>
      <c r="E206" s="4">
        <v>5.1506619039999997</v>
      </c>
      <c r="F206" s="4">
        <v>0</v>
      </c>
    </row>
    <row r="207" spans="1:6" x14ac:dyDescent="0.35">
      <c r="A207" s="2">
        <v>1262070025</v>
      </c>
      <c r="B207" s="6" t="s">
        <v>603</v>
      </c>
      <c r="C207" s="2" t="s">
        <v>461</v>
      </c>
      <c r="D207" s="4">
        <v>2.6761924769999998</v>
      </c>
      <c r="E207" s="4">
        <v>2.6761924769999998</v>
      </c>
      <c r="F207" s="4">
        <v>0</v>
      </c>
    </row>
    <row r="208" spans="1:6" x14ac:dyDescent="0.35">
      <c r="A208" s="2">
        <v>1262070026</v>
      </c>
      <c r="B208" s="6" t="s">
        <v>604</v>
      </c>
      <c r="C208" s="2" t="s">
        <v>461</v>
      </c>
      <c r="D208" s="4">
        <v>9.4159837500000005</v>
      </c>
      <c r="E208" s="4">
        <v>9.4159837500000005</v>
      </c>
      <c r="F208" s="4">
        <v>0</v>
      </c>
    </row>
    <row r="209" spans="1:6" x14ac:dyDescent="0.35">
      <c r="A209" s="2">
        <v>1262070027</v>
      </c>
      <c r="B209" s="6" t="s">
        <v>605</v>
      </c>
      <c r="C209" s="2" t="s">
        <v>461</v>
      </c>
      <c r="D209" s="4">
        <v>9.1671919870000007</v>
      </c>
      <c r="E209" s="4">
        <v>9.1671919870000007</v>
      </c>
      <c r="F209" s="4">
        <v>0</v>
      </c>
    </row>
    <row r="210" spans="1:6" x14ac:dyDescent="0.35">
      <c r="A210" s="2">
        <v>1262070028</v>
      </c>
      <c r="B210" s="6" t="s">
        <v>606</v>
      </c>
      <c r="C210" s="2" t="s">
        <v>461</v>
      </c>
      <c r="D210" s="4">
        <v>7.1947888210000004</v>
      </c>
      <c r="E210" s="4">
        <v>7.1947888210000004</v>
      </c>
      <c r="F210" s="4">
        <v>0</v>
      </c>
    </row>
    <row r="211" spans="1:6" x14ac:dyDescent="0.35">
      <c r="A211" s="2">
        <v>1262070029</v>
      </c>
      <c r="B211" s="6" t="s">
        <v>607</v>
      </c>
      <c r="C211" s="2" t="s">
        <v>461</v>
      </c>
      <c r="D211" s="4">
        <v>10.73614905</v>
      </c>
      <c r="E211" s="4">
        <v>10.73614905</v>
      </c>
      <c r="F211" s="4">
        <v>0</v>
      </c>
    </row>
    <row r="212" spans="1:6" x14ac:dyDescent="0.35">
      <c r="A212" s="2">
        <v>1262070030</v>
      </c>
      <c r="B212" s="6" t="s">
        <v>608</v>
      </c>
      <c r="C212" s="2" t="s">
        <v>461</v>
      </c>
      <c r="D212" s="4">
        <v>8.2527141559999997</v>
      </c>
      <c r="E212" s="4">
        <v>8.2527141559999997</v>
      </c>
      <c r="F212" s="4">
        <v>0</v>
      </c>
    </row>
    <row r="213" spans="1:6" x14ac:dyDescent="0.35">
      <c r="A213" s="2">
        <v>1262070031</v>
      </c>
      <c r="B213" s="6" t="s">
        <v>609</v>
      </c>
      <c r="C213" s="2" t="s">
        <v>461</v>
      </c>
      <c r="D213" s="4">
        <v>10.39546123</v>
      </c>
      <c r="E213" s="4">
        <v>10.39546123</v>
      </c>
      <c r="F213" s="4">
        <v>0</v>
      </c>
    </row>
    <row r="214" spans="1:6" x14ac:dyDescent="0.35">
      <c r="A214" s="2">
        <v>1262070032</v>
      </c>
      <c r="B214" s="6" t="s">
        <v>610</v>
      </c>
      <c r="C214" s="2" t="s">
        <v>461</v>
      </c>
      <c r="D214" s="4">
        <v>28.543811730000002</v>
      </c>
      <c r="E214" s="4">
        <v>28.543811730000002</v>
      </c>
      <c r="F214" s="4">
        <v>0</v>
      </c>
    </row>
    <row r="215" spans="1:6" x14ac:dyDescent="0.35">
      <c r="A215" s="2">
        <v>1262070033</v>
      </c>
      <c r="B215" s="6" t="s">
        <v>611</v>
      </c>
      <c r="C215" s="2" t="s">
        <v>461</v>
      </c>
      <c r="D215" s="4">
        <v>22.624360859999999</v>
      </c>
      <c r="E215" s="4">
        <v>22.624360859999999</v>
      </c>
      <c r="F215" s="4">
        <v>0</v>
      </c>
    </row>
    <row r="216" spans="1:6" x14ac:dyDescent="0.35">
      <c r="A216" s="2">
        <v>1262070034</v>
      </c>
      <c r="B216" s="6" t="s">
        <v>612</v>
      </c>
      <c r="C216" s="2" t="s">
        <v>461</v>
      </c>
      <c r="D216" s="4">
        <v>34.44981439</v>
      </c>
      <c r="E216" s="4">
        <v>34.44981439</v>
      </c>
      <c r="F216" s="4">
        <v>0</v>
      </c>
    </row>
    <row r="217" spans="1:6" x14ac:dyDescent="0.35">
      <c r="A217" s="2">
        <v>1262070035</v>
      </c>
      <c r="B217" s="6" t="s">
        <v>613</v>
      </c>
      <c r="C217" s="2" t="s">
        <v>461</v>
      </c>
      <c r="D217" s="4">
        <v>34.794984939999999</v>
      </c>
      <c r="E217" s="4">
        <v>34.794984939999999</v>
      </c>
      <c r="F217" s="4">
        <v>0</v>
      </c>
    </row>
    <row r="218" spans="1:6" x14ac:dyDescent="0.35">
      <c r="A218" s="2">
        <v>1262070036</v>
      </c>
      <c r="B218" s="6" t="s">
        <v>614</v>
      </c>
      <c r="C218" s="2" t="s">
        <v>461</v>
      </c>
      <c r="D218" s="4">
        <v>34.893605100000002</v>
      </c>
      <c r="E218" s="4">
        <v>34.893605100000002</v>
      </c>
      <c r="F218" s="4">
        <v>0</v>
      </c>
    </row>
    <row r="219" spans="1:6" x14ac:dyDescent="0.35">
      <c r="A219" s="2">
        <v>1262070037</v>
      </c>
      <c r="B219" s="6" t="s">
        <v>615</v>
      </c>
      <c r="C219" s="2" t="s">
        <v>461</v>
      </c>
      <c r="D219" s="4">
        <v>4.8435945929999997</v>
      </c>
      <c r="E219" s="4">
        <v>4.8435945929999997</v>
      </c>
      <c r="F219" s="4">
        <v>0</v>
      </c>
    </row>
    <row r="220" spans="1:6" x14ac:dyDescent="0.35">
      <c r="A220" s="2">
        <v>1262070038</v>
      </c>
      <c r="B220" s="6" t="s">
        <v>616</v>
      </c>
      <c r="C220" s="2" t="s">
        <v>461</v>
      </c>
      <c r="D220" s="4">
        <v>6.0539328990000003</v>
      </c>
      <c r="E220" s="4">
        <v>6.0539328990000003</v>
      </c>
      <c r="F220" s="4">
        <v>0</v>
      </c>
    </row>
    <row r="221" spans="1:6" x14ac:dyDescent="0.35">
      <c r="A221" s="2">
        <v>1262070039</v>
      </c>
      <c r="B221" s="6" t="s">
        <v>617</v>
      </c>
      <c r="C221" s="2" t="s">
        <v>461</v>
      </c>
      <c r="D221" s="4">
        <v>7.4189255449999996</v>
      </c>
      <c r="E221" s="4">
        <v>7.4189255449999996</v>
      </c>
      <c r="F221" s="4">
        <v>0</v>
      </c>
    </row>
    <row r="222" spans="1:6" x14ac:dyDescent="0.35">
      <c r="A222" s="2">
        <v>1262070040</v>
      </c>
      <c r="B222" s="6" t="s">
        <v>618</v>
      </c>
      <c r="C222" s="2" t="s">
        <v>461</v>
      </c>
      <c r="D222" s="4">
        <v>7.6385795339999998</v>
      </c>
      <c r="E222" s="4">
        <v>7.6385795339999998</v>
      </c>
      <c r="F222" s="4">
        <v>0</v>
      </c>
    </row>
    <row r="223" spans="1:6" x14ac:dyDescent="0.35">
      <c r="A223" s="2">
        <v>1262070041</v>
      </c>
      <c r="B223" s="6" t="s">
        <v>619</v>
      </c>
      <c r="C223" s="2" t="s">
        <v>461</v>
      </c>
      <c r="D223" s="4">
        <v>7.4189255449999996</v>
      </c>
      <c r="E223" s="4">
        <v>7.4189255449999996</v>
      </c>
      <c r="F223" s="4">
        <v>0</v>
      </c>
    </row>
    <row r="224" spans="1:6" x14ac:dyDescent="0.35">
      <c r="A224" s="2">
        <v>1262070042</v>
      </c>
      <c r="B224" s="6" t="s">
        <v>620</v>
      </c>
      <c r="C224" s="2" t="s">
        <v>461</v>
      </c>
      <c r="D224" s="4">
        <v>5.7042796109999996</v>
      </c>
      <c r="E224" s="4">
        <v>5.7042796109999996</v>
      </c>
      <c r="F224" s="4">
        <v>0</v>
      </c>
    </row>
    <row r="225" spans="1:6" x14ac:dyDescent="0.35">
      <c r="A225" s="2">
        <v>1262070043</v>
      </c>
      <c r="B225" s="6" t="s">
        <v>621</v>
      </c>
      <c r="C225" s="2" t="s">
        <v>461</v>
      </c>
      <c r="D225" s="4">
        <v>5.7334173850000001</v>
      </c>
      <c r="E225" s="4">
        <v>5.7334173850000001</v>
      </c>
      <c r="F225" s="4">
        <v>0</v>
      </c>
    </row>
    <row r="226" spans="1:6" x14ac:dyDescent="0.35">
      <c r="A226" s="2">
        <v>1262070044</v>
      </c>
      <c r="B226" s="6" t="s">
        <v>622</v>
      </c>
      <c r="C226" s="2" t="s">
        <v>461</v>
      </c>
      <c r="D226" s="4">
        <v>6.8115150240000002</v>
      </c>
      <c r="E226" s="4">
        <v>6.8115150240000002</v>
      </c>
      <c r="F226" s="4">
        <v>0</v>
      </c>
    </row>
    <row r="227" spans="1:6" x14ac:dyDescent="0.35">
      <c r="A227" s="2">
        <v>1262070045</v>
      </c>
      <c r="B227" s="6" t="s">
        <v>623</v>
      </c>
      <c r="C227" s="2" t="s">
        <v>461</v>
      </c>
      <c r="D227" s="4">
        <v>5.5272115990000001</v>
      </c>
      <c r="E227" s="4">
        <v>5.5272115990000001</v>
      </c>
      <c r="F227" s="4">
        <v>0</v>
      </c>
    </row>
    <row r="228" spans="1:6" x14ac:dyDescent="0.35">
      <c r="A228" s="2">
        <v>1262070046</v>
      </c>
      <c r="B228" s="6" t="s">
        <v>624</v>
      </c>
      <c r="C228" s="2" t="s">
        <v>461</v>
      </c>
      <c r="D228" s="4">
        <v>2.6717097430000001</v>
      </c>
      <c r="E228" s="4">
        <v>2.6717097430000001</v>
      </c>
      <c r="F228" s="4">
        <v>0</v>
      </c>
    </row>
    <row r="229" spans="1:6" x14ac:dyDescent="0.35">
      <c r="A229" s="2">
        <v>1262070047</v>
      </c>
      <c r="B229" s="6" t="s">
        <v>625</v>
      </c>
      <c r="C229" s="2" t="s">
        <v>461</v>
      </c>
      <c r="D229" s="4">
        <v>15.85319045</v>
      </c>
      <c r="E229" s="4">
        <v>15.85319045</v>
      </c>
      <c r="F229" s="4">
        <v>0</v>
      </c>
    </row>
    <row r="230" spans="1:6" x14ac:dyDescent="0.35">
      <c r="A230" s="2">
        <v>1262070048</v>
      </c>
      <c r="B230" s="6" t="s">
        <v>626</v>
      </c>
      <c r="C230" s="2" t="s">
        <v>461</v>
      </c>
      <c r="D230" s="4">
        <v>10.054773409999999</v>
      </c>
      <c r="E230" s="4">
        <v>10.054773409999999</v>
      </c>
      <c r="F230" s="4">
        <v>0</v>
      </c>
    </row>
    <row r="231" spans="1:6" x14ac:dyDescent="0.35">
      <c r="A231" s="2">
        <v>1262070049</v>
      </c>
      <c r="B231" s="6" t="s">
        <v>627</v>
      </c>
      <c r="C231" s="2" t="s">
        <v>461</v>
      </c>
      <c r="D231" s="4">
        <v>9.9561532530000001</v>
      </c>
      <c r="E231" s="4">
        <v>9.9561532530000001</v>
      </c>
      <c r="F231" s="4">
        <v>0</v>
      </c>
    </row>
    <row r="232" spans="1:6" x14ac:dyDescent="0.35">
      <c r="A232" s="2">
        <v>1262070050</v>
      </c>
      <c r="B232" s="6" t="s">
        <v>628</v>
      </c>
      <c r="C232" s="2" t="s">
        <v>461</v>
      </c>
      <c r="D232" s="4">
        <v>24.599005389999999</v>
      </c>
      <c r="E232" s="4">
        <v>24.599005389999999</v>
      </c>
      <c r="F232" s="4">
        <v>0</v>
      </c>
    </row>
    <row r="233" spans="1:6" x14ac:dyDescent="0.35">
      <c r="A233" s="2">
        <v>1262070051</v>
      </c>
      <c r="B233" s="6" t="s">
        <v>629</v>
      </c>
      <c r="C233" s="2" t="s">
        <v>461</v>
      </c>
      <c r="D233" s="4">
        <v>15.667156970000001</v>
      </c>
      <c r="E233" s="4">
        <v>15.667156970000001</v>
      </c>
      <c r="F233" s="4">
        <v>0</v>
      </c>
    </row>
    <row r="234" spans="1:6" x14ac:dyDescent="0.35">
      <c r="A234" s="2">
        <v>1262070052</v>
      </c>
      <c r="B234" s="6" t="s">
        <v>630</v>
      </c>
      <c r="C234" s="2" t="s">
        <v>461</v>
      </c>
      <c r="D234" s="4">
        <v>17.97576522</v>
      </c>
      <c r="E234" s="4">
        <v>17.97576522</v>
      </c>
      <c r="F234" s="4">
        <v>0</v>
      </c>
    </row>
    <row r="235" spans="1:6" x14ac:dyDescent="0.35">
      <c r="A235" s="2">
        <v>1262070053</v>
      </c>
      <c r="B235" s="6" t="s">
        <v>631</v>
      </c>
      <c r="C235" s="2" t="s">
        <v>461</v>
      </c>
      <c r="D235" s="4">
        <v>10.2811515</v>
      </c>
      <c r="E235" s="4">
        <v>10.2811515</v>
      </c>
      <c r="F235" s="4">
        <v>0</v>
      </c>
    </row>
    <row r="236" spans="1:6" x14ac:dyDescent="0.35">
      <c r="A236" s="2">
        <v>1262070054</v>
      </c>
      <c r="B236" s="6" t="s">
        <v>632</v>
      </c>
      <c r="C236" s="2" t="s">
        <v>461</v>
      </c>
      <c r="D236" s="4">
        <v>11.005113120000001</v>
      </c>
      <c r="E236" s="4">
        <v>11.005113120000001</v>
      </c>
      <c r="F236" s="4">
        <v>0</v>
      </c>
    </row>
    <row r="237" spans="1:6" x14ac:dyDescent="0.35">
      <c r="A237" s="2">
        <v>1262070055</v>
      </c>
      <c r="B237" s="6" t="s">
        <v>633</v>
      </c>
      <c r="C237" s="2" t="s">
        <v>461</v>
      </c>
      <c r="D237" s="4">
        <v>21.703158930000001</v>
      </c>
      <c r="E237" s="4">
        <v>21.703158930000001</v>
      </c>
      <c r="F237" s="4">
        <v>0</v>
      </c>
    </row>
    <row r="238" spans="1:6" x14ac:dyDescent="0.35">
      <c r="A238" s="2">
        <v>1262070056</v>
      </c>
      <c r="B238" s="6" t="s">
        <v>634</v>
      </c>
      <c r="C238" s="2" t="s">
        <v>461</v>
      </c>
      <c r="D238" s="4">
        <v>9.9337395809999993</v>
      </c>
      <c r="E238" s="4">
        <v>9.9337395809999993</v>
      </c>
      <c r="F238" s="4">
        <v>0</v>
      </c>
    </row>
    <row r="239" spans="1:6" x14ac:dyDescent="0.35">
      <c r="A239" s="2">
        <v>1262070057</v>
      </c>
      <c r="B239" s="6" t="s">
        <v>635</v>
      </c>
      <c r="C239" s="2" t="s">
        <v>461</v>
      </c>
      <c r="D239" s="4">
        <v>15.938362400000001</v>
      </c>
      <c r="E239" s="4">
        <v>15.938362400000001</v>
      </c>
      <c r="F239" s="4">
        <v>0</v>
      </c>
    </row>
    <row r="240" spans="1:6" x14ac:dyDescent="0.35">
      <c r="A240" s="2">
        <v>1262070058</v>
      </c>
      <c r="B240" s="6" t="s">
        <v>636</v>
      </c>
      <c r="C240" s="2" t="s">
        <v>461</v>
      </c>
      <c r="D240" s="4">
        <v>18.879036209999999</v>
      </c>
      <c r="E240" s="4">
        <v>18.879036209999999</v>
      </c>
      <c r="F240" s="4">
        <v>0</v>
      </c>
    </row>
    <row r="241" spans="1:6" x14ac:dyDescent="0.35">
      <c r="A241" s="2">
        <v>1262070059</v>
      </c>
      <c r="B241" s="6" t="s">
        <v>637</v>
      </c>
      <c r="C241" s="2" t="s">
        <v>461</v>
      </c>
      <c r="D241" s="4">
        <v>16.760944179999999</v>
      </c>
      <c r="E241" s="4">
        <v>16.760944179999999</v>
      </c>
      <c r="F241" s="4">
        <v>0</v>
      </c>
    </row>
    <row r="242" spans="1:6" x14ac:dyDescent="0.35">
      <c r="A242" s="2">
        <v>1262070061</v>
      </c>
      <c r="B242" s="6" t="s">
        <v>638</v>
      </c>
      <c r="C242" s="2" t="s">
        <v>461</v>
      </c>
      <c r="D242" s="4">
        <v>28.32415774</v>
      </c>
      <c r="E242" s="4">
        <v>28.32415774</v>
      </c>
      <c r="F242" s="4">
        <v>0</v>
      </c>
    </row>
    <row r="243" spans="1:6" x14ac:dyDescent="0.35">
      <c r="A243" s="2">
        <v>1262070062</v>
      </c>
      <c r="B243" s="6" t="s">
        <v>639</v>
      </c>
      <c r="C243" s="2" t="s">
        <v>461</v>
      </c>
      <c r="D243" s="4">
        <v>26.03796316</v>
      </c>
      <c r="E243" s="4">
        <v>26.03796316</v>
      </c>
      <c r="F243" s="4">
        <v>0</v>
      </c>
    </row>
    <row r="244" spans="1:6" x14ac:dyDescent="0.35">
      <c r="A244" s="2">
        <v>1262070063</v>
      </c>
      <c r="B244" s="6" t="s">
        <v>640</v>
      </c>
      <c r="C244" s="2" t="s">
        <v>461</v>
      </c>
      <c r="D244" s="4">
        <v>84.037823070000002</v>
      </c>
      <c r="E244" s="4">
        <v>84.037823070000002</v>
      </c>
      <c r="F244" s="4">
        <v>0</v>
      </c>
    </row>
    <row r="245" spans="1:6" x14ac:dyDescent="0.35">
      <c r="A245" s="2">
        <v>1262070064</v>
      </c>
      <c r="B245" s="6" t="s">
        <v>641</v>
      </c>
      <c r="C245" s="2" t="s">
        <v>461</v>
      </c>
      <c r="D245" s="4">
        <v>0.96602927800000005</v>
      </c>
      <c r="E245" s="4">
        <v>0.96602927800000005</v>
      </c>
      <c r="F245" s="4">
        <v>0</v>
      </c>
    </row>
    <row r="246" spans="1:6" x14ac:dyDescent="0.35">
      <c r="A246" s="2">
        <v>1262070065</v>
      </c>
      <c r="B246" s="6" t="s">
        <v>642</v>
      </c>
      <c r="C246" s="2" t="s">
        <v>461</v>
      </c>
      <c r="D246" s="4">
        <v>1.6653358549999999</v>
      </c>
      <c r="E246" s="4">
        <v>1.6653358549999999</v>
      </c>
      <c r="F246" s="4">
        <v>0</v>
      </c>
    </row>
    <row r="247" spans="1:6" x14ac:dyDescent="0.35">
      <c r="A247" s="2">
        <v>1262070066</v>
      </c>
      <c r="B247" s="6" t="s">
        <v>643</v>
      </c>
      <c r="C247" s="2" t="s">
        <v>461</v>
      </c>
      <c r="D247" s="4">
        <v>4.2429081740000001</v>
      </c>
      <c r="E247" s="4">
        <v>4.2429081740000001</v>
      </c>
      <c r="F247" s="4">
        <v>0</v>
      </c>
    </row>
    <row r="248" spans="1:6" x14ac:dyDescent="0.35">
      <c r="A248" s="2">
        <v>1262070067</v>
      </c>
      <c r="B248" s="6" t="s">
        <v>644</v>
      </c>
      <c r="C248" s="2" t="s">
        <v>461</v>
      </c>
      <c r="D248" s="4">
        <v>5.448763746</v>
      </c>
      <c r="E248" s="4">
        <v>5.448763746</v>
      </c>
      <c r="F248" s="4">
        <v>0</v>
      </c>
    </row>
    <row r="249" spans="1:6" x14ac:dyDescent="0.35">
      <c r="A249" s="2">
        <v>1262070068</v>
      </c>
      <c r="B249" s="6" t="s">
        <v>645</v>
      </c>
      <c r="C249" s="2" t="s">
        <v>461</v>
      </c>
      <c r="D249" s="4">
        <v>3.2230860830000001</v>
      </c>
      <c r="E249" s="4">
        <v>3.2230860830000001</v>
      </c>
      <c r="F249" s="4">
        <v>0</v>
      </c>
    </row>
    <row r="250" spans="1:6" x14ac:dyDescent="0.35">
      <c r="A250" s="2">
        <v>1262070069</v>
      </c>
      <c r="B250" s="6" t="s">
        <v>646</v>
      </c>
      <c r="C250" s="2" t="s">
        <v>461</v>
      </c>
      <c r="D250" s="4">
        <v>2.8375709179999999</v>
      </c>
      <c r="E250" s="4">
        <v>2.8375709179999999</v>
      </c>
      <c r="F250" s="4">
        <v>0</v>
      </c>
    </row>
    <row r="251" spans="1:6" x14ac:dyDescent="0.35">
      <c r="A251" s="2">
        <v>1262070070</v>
      </c>
      <c r="B251" s="6" t="s">
        <v>647</v>
      </c>
      <c r="C251" s="2" t="s">
        <v>461</v>
      </c>
      <c r="D251" s="4">
        <v>8.1092666530000006</v>
      </c>
      <c r="E251" s="4">
        <v>8.1092666530000006</v>
      </c>
      <c r="F251" s="4">
        <v>0</v>
      </c>
    </row>
    <row r="252" spans="1:6" x14ac:dyDescent="0.35">
      <c r="A252" s="2">
        <v>1262070071</v>
      </c>
      <c r="B252" s="6" t="s">
        <v>648</v>
      </c>
      <c r="C252" s="2" t="s">
        <v>461</v>
      </c>
      <c r="D252" s="4">
        <v>1.694473629</v>
      </c>
      <c r="E252" s="4">
        <v>1.694473629</v>
      </c>
      <c r="F252" s="4">
        <v>0</v>
      </c>
    </row>
    <row r="253" spans="1:6" x14ac:dyDescent="0.35">
      <c r="A253" s="2">
        <v>1262070072</v>
      </c>
      <c r="B253" s="6" t="s">
        <v>649</v>
      </c>
      <c r="C253" s="2" t="s">
        <v>461</v>
      </c>
      <c r="D253" s="4">
        <v>1.858093437</v>
      </c>
      <c r="E253" s="4">
        <v>1.858093437</v>
      </c>
      <c r="F253" s="4">
        <v>0</v>
      </c>
    </row>
    <row r="254" spans="1:6" x14ac:dyDescent="0.35">
      <c r="A254" s="2">
        <v>1262070073</v>
      </c>
      <c r="B254" s="6" t="s">
        <v>650</v>
      </c>
      <c r="C254" s="2" t="s">
        <v>461</v>
      </c>
      <c r="D254" s="4">
        <v>1.342578973</v>
      </c>
      <c r="E254" s="4">
        <v>1.342578973</v>
      </c>
      <c r="F254" s="4">
        <v>0</v>
      </c>
    </row>
    <row r="255" spans="1:6" x14ac:dyDescent="0.35">
      <c r="A255" s="2">
        <v>1262070074</v>
      </c>
      <c r="B255" s="6" t="s">
        <v>651</v>
      </c>
      <c r="C255" s="2" t="s">
        <v>461</v>
      </c>
      <c r="D255" s="4">
        <v>1.414302725</v>
      </c>
      <c r="E255" s="4">
        <v>1.414302725</v>
      </c>
      <c r="F255" s="4">
        <v>0</v>
      </c>
    </row>
    <row r="256" spans="1:6" x14ac:dyDescent="0.35">
      <c r="A256" s="2">
        <v>1262070075</v>
      </c>
      <c r="B256" s="6" t="s">
        <v>652</v>
      </c>
      <c r="C256" s="2" t="s">
        <v>461</v>
      </c>
      <c r="D256" s="4">
        <v>0.68137563899999998</v>
      </c>
      <c r="E256" s="4">
        <v>0.68137563899999998</v>
      </c>
      <c r="F256" s="4">
        <v>0</v>
      </c>
    </row>
    <row r="257" spans="1:6" x14ac:dyDescent="0.35">
      <c r="A257" s="2">
        <v>1262070077</v>
      </c>
      <c r="B257" s="6" t="s">
        <v>653</v>
      </c>
      <c r="C257" s="2" t="s">
        <v>461</v>
      </c>
      <c r="D257" s="4">
        <v>0.66344470099999997</v>
      </c>
      <c r="E257" s="4">
        <v>0.66344470099999997</v>
      </c>
      <c r="F257" s="4">
        <v>0</v>
      </c>
    </row>
    <row r="258" spans="1:6" x14ac:dyDescent="0.35">
      <c r="A258" s="2">
        <v>1262070078</v>
      </c>
      <c r="B258" s="6" t="s">
        <v>654</v>
      </c>
      <c r="C258" s="2" t="s">
        <v>461</v>
      </c>
      <c r="D258" s="4">
        <v>0.83602997800000001</v>
      </c>
      <c r="E258" s="4">
        <v>0.83602997800000001</v>
      </c>
      <c r="F258" s="4">
        <v>0</v>
      </c>
    </row>
    <row r="259" spans="1:6" x14ac:dyDescent="0.35">
      <c r="A259" s="2">
        <v>1262070079</v>
      </c>
      <c r="B259" s="6" t="s">
        <v>655</v>
      </c>
      <c r="C259" s="2" t="s">
        <v>461</v>
      </c>
      <c r="D259" s="4">
        <v>1.1901660009999999</v>
      </c>
      <c r="E259" s="4">
        <v>1.1901660009999999</v>
      </c>
      <c r="F259" s="4">
        <v>0</v>
      </c>
    </row>
    <row r="260" spans="1:6" x14ac:dyDescent="0.35">
      <c r="A260" s="2">
        <v>1262070080</v>
      </c>
      <c r="B260" s="6" t="s">
        <v>656</v>
      </c>
      <c r="C260" s="2" t="s">
        <v>461</v>
      </c>
      <c r="D260" s="4">
        <v>0.90999509700000003</v>
      </c>
      <c r="E260" s="4">
        <v>0.90999509700000003</v>
      </c>
      <c r="F260" s="4">
        <v>0</v>
      </c>
    </row>
    <row r="261" spans="1:6" x14ac:dyDescent="0.35">
      <c r="A261" s="2">
        <v>1262070081</v>
      </c>
      <c r="B261" s="6" t="s">
        <v>657</v>
      </c>
      <c r="C261" s="2" t="s">
        <v>461</v>
      </c>
      <c r="D261" s="4">
        <v>1.7393009740000001</v>
      </c>
      <c r="E261" s="4">
        <v>1.7393009740000001</v>
      </c>
      <c r="F261" s="4">
        <v>0</v>
      </c>
    </row>
    <row r="262" spans="1:6" x14ac:dyDescent="0.35">
      <c r="A262" s="2">
        <v>1262070082</v>
      </c>
      <c r="B262" s="6" t="s">
        <v>658</v>
      </c>
      <c r="C262" s="2" t="s">
        <v>461</v>
      </c>
      <c r="D262" s="4">
        <v>1.208096939</v>
      </c>
      <c r="E262" s="4">
        <v>1.208096939</v>
      </c>
      <c r="F262" s="4">
        <v>0</v>
      </c>
    </row>
    <row r="263" spans="1:6" x14ac:dyDescent="0.35">
      <c r="A263" s="2">
        <v>1262070083</v>
      </c>
      <c r="B263" s="6" t="s">
        <v>659</v>
      </c>
      <c r="C263" s="2" t="s">
        <v>461</v>
      </c>
      <c r="D263" s="4">
        <v>1.1834419</v>
      </c>
      <c r="E263" s="4">
        <v>1.1834419</v>
      </c>
      <c r="F263" s="4">
        <v>0</v>
      </c>
    </row>
    <row r="264" spans="1:6" x14ac:dyDescent="0.35">
      <c r="A264" s="2">
        <v>1262070084</v>
      </c>
      <c r="B264" s="6" t="s">
        <v>660</v>
      </c>
      <c r="C264" s="2" t="s">
        <v>461</v>
      </c>
      <c r="D264" s="4">
        <v>1.1968901030000001</v>
      </c>
      <c r="E264" s="4">
        <v>1.1968901030000001</v>
      </c>
      <c r="F264" s="4">
        <v>0</v>
      </c>
    </row>
    <row r="265" spans="1:6" x14ac:dyDescent="0.35">
      <c r="A265" s="2">
        <v>1262070085</v>
      </c>
      <c r="B265" s="6" t="s">
        <v>661</v>
      </c>
      <c r="C265" s="2" t="s">
        <v>461</v>
      </c>
      <c r="D265" s="4">
        <v>1.4613714369999999</v>
      </c>
      <c r="E265" s="4">
        <v>1.4613714369999999</v>
      </c>
      <c r="F265" s="4">
        <v>0</v>
      </c>
    </row>
    <row r="266" spans="1:6" x14ac:dyDescent="0.35">
      <c r="A266" s="2">
        <v>1262070086</v>
      </c>
      <c r="B266" s="6" t="s">
        <v>662</v>
      </c>
      <c r="C266" s="2" t="s">
        <v>461</v>
      </c>
      <c r="D266" s="4">
        <v>1.87154164</v>
      </c>
      <c r="E266" s="4">
        <v>1.87154164</v>
      </c>
      <c r="F266" s="4">
        <v>0</v>
      </c>
    </row>
    <row r="267" spans="1:6" x14ac:dyDescent="0.35">
      <c r="A267" s="2">
        <v>1262070087</v>
      </c>
      <c r="B267" s="6" t="s">
        <v>663</v>
      </c>
      <c r="C267" s="2" t="s">
        <v>461</v>
      </c>
      <c r="D267" s="4">
        <v>1.918610352</v>
      </c>
      <c r="E267" s="4">
        <v>1.918610352</v>
      </c>
      <c r="F267" s="4">
        <v>0</v>
      </c>
    </row>
    <row r="268" spans="1:6" x14ac:dyDescent="0.35">
      <c r="A268" s="2">
        <v>1262070088</v>
      </c>
      <c r="B268" s="6" t="s">
        <v>664</v>
      </c>
      <c r="C268" s="2" t="s">
        <v>461</v>
      </c>
      <c r="D268" s="4">
        <v>1.55550886</v>
      </c>
      <c r="E268" s="4">
        <v>1.55550886</v>
      </c>
      <c r="F268" s="4">
        <v>0</v>
      </c>
    </row>
    <row r="269" spans="1:6" x14ac:dyDescent="0.35">
      <c r="A269" s="2">
        <v>1262070089</v>
      </c>
      <c r="B269" s="6" t="s">
        <v>665</v>
      </c>
      <c r="C269" s="2" t="s">
        <v>461</v>
      </c>
      <c r="D269" s="4">
        <v>1.6361980810000001</v>
      </c>
      <c r="E269" s="4">
        <v>1.6361980810000001</v>
      </c>
      <c r="F269" s="4">
        <v>0</v>
      </c>
    </row>
    <row r="270" spans="1:6" x14ac:dyDescent="0.35">
      <c r="A270" s="2">
        <v>1262070090</v>
      </c>
      <c r="B270" s="6" t="s">
        <v>666</v>
      </c>
      <c r="C270" s="2" t="s">
        <v>461</v>
      </c>
      <c r="D270" s="4">
        <v>1.1699936959999999</v>
      </c>
      <c r="E270" s="4">
        <v>1.1699936959999999</v>
      </c>
      <c r="F270" s="4">
        <v>0</v>
      </c>
    </row>
    <row r="271" spans="1:6" x14ac:dyDescent="0.35">
      <c r="A271" s="2">
        <v>1262070091</v>
      </c>
      <c r="B271" s="6" t="s">
        <v>667</v>
      </c>
      <c r="C271" s="2" t="s">
        <v>461</v>
      </c>
      <c r="D271" s="4">
        <v>1.154304126</v>
      </c>
      <c r="E271" s="4">
        <v>1.154304126</v>
      </c>
      <c r="F271" s="4">
        <v>0</v>
      </c>
    </row>
    <row r="272" spans="1:6" x14ac:dyDescent="0.35">
      <c r="A272" s="2">
        <v>1262070092</v>
      </c>
      <c r="B272" s="6" t="s">
        <v>668</v>
      </c>
      <c r="C272" s="2" t="s">
        <v>461</v>
      </c>
      <c r="D272" s="4">
        <v>1.102752679</v>
      </c>
      <c r="E272" s="4">
        <v>1.102752679</v>
      </c>
      <c r="F272" s="4">
        <v>0</v>
      </c>
    </row>
    <row r="273" spans="1:6" x14ac:dyDescent="0.35">
      <c r="A273" s="2">
        <v>1262070093</v>
      </c>
      <c r="B273" s="6" t="s">
        <v>669</v>
      </c>
      <c r="C273" s="2" t="s">
        <v>461</v>
      </c>
      <c r="D273" s="4">
        <v>1.7617146459999999</v>
      </c>
      <c r="E273" s="4">
        <v>1.7617146459999999</v>
      </c>
      <c r="F273" s="4">
        <v>0</v>
      </c>
    </row>
    <row r="274" spans="1:6" x14ac:dyDescent="0.35">
      <c r="A274" s="2">
        <v>1262070094</v>
      </c>
      <c r="B274" s="6" t="s">
        <v>670</v>
      </c>
      <c r="C274" s="2" t="s">
        <v>461</v>
      </c>
      <c r="D274" s="4">
        <v>4.2025635640000001</v>
      </c>
      <c r="E274" s="4">
        <v>4.2025635640000001</v>
      </c>
      <c r="F274" s="4">
        <v>0</v>
      </c>
    </row>
    <row r="275" spans="1:6" x14ac:dyDescent="0.35">
      <c r="A275" s="2">
        <v>1262070095</v>
      </c>
      <c r="B275" s="6" t="s">
        <v>671</v>
      </c>
      <c r="C275" s="2" t="s">
        <v>461</v>
      </c>
      <c r="D275" s="4">
        <v>4.6911816210000001</v>
      </c>
      <c r="E275" s="4">
        <v>4.6911816210000001</v>
      </c>
      <c r="F275" s="4">
        <v>0</v>
      </c>
    </row>
    <row r="276" spans="1:6" x14ac:dyDescent="0.35">
      <c r="A276" s="2">
        <v>1262070096</v>
      </c>
      <c r="B276" s="6" t="s">
        <v>672</v>
      </c>
      <c r="C276" s="2" t="s">
        <v>477</v>
      </c>
      <c r="D276" s="4">
        <v>9.9507200000000005</v>
      </c>
      <c r="E276" s="4">
        <v>8.32</v>
      </c>
      <c r="F276" s="4">
        <v>1.6307199999999999</v>
      </c>
    </row>
    <row r="277" spans="1:6" x14ac:dyDescent="0.35">
      <c r="A277" s="2">
        <v>1262070097</v>
      </c>
      <c r="B277" s="6" t="s">
        <v>673</v>
      </c>
      <c r="C277" s="2" t="s">
        <v>477</v>
      </c>
      <c r="D277" s="4">
        <v>10.90752</v>
      </c>
      <c r="E277" s="4">
        <v>9.1199999999999992</v>
      </c>
      <c r="F277" s="4">
        <v>1.78752</v>
      </c>
    </row>
    <row r="278" spans="1:6" x14ac:dyDescent="0.35">
      <c r="A278" s="2">
        <v>1262070098</v>
      </c>
      <c r="B278" s="6" t="s">
        <v>674</v>
      </c>
      <c r="C278" s="2" t="s">
        <v>477</v>
      </c>
      <c r="D278" s="4">
        <v>10.90752</v>
      </c>
      <c r="E278" s="4">
        <v>9.1199999999999992</v>
      </c>
      <c r="F278" s="4">
        <v>1.78752</v>
      </c>
    </row>
    <row r="279" spans="1:6" x14ac:dyDescent="0.35">
      <c r="A279" s="2">
        <v>1262070099</v>
      </c>
      <c r="B279" s="6" t="s">
        <v>675</v>
      </c>
      <c r="C279" s="2" t="s">
        <v>477</v>
      </c>
      <c r="D279" s="4">
        <v>13.77792</v>
      </c>
      <c r="E279" s="4">
        <v>11.52</v>
      </c>
      <c r="F279" s="4">
        <v>2.2579199999999999</v>
      </c>
    </row>
    <row r="280" spans="1:6" x14ac:dyDescent="0.35">
      <c r="A280" s="2">
        <v>1262070100</v>
      </c>
      <c r="B280" s="6" t="s">
        <v>676</v>
      </c>
      <c r="C280" s="2" t="s">
        <v>477</v>
      </c>
      <c r="D280" s="4">
        <v>18.370560000000001</v>
      </c>
      <c r="E280" s="4">
        <v>15.36</v>
      </c>
      <c r="F280" s="4">
        <v>3.0105599999999999</v>
      </c>
    </row>
    <row r="281" spans="1:6" x14ac:dyDescent="0.35">
      <c r="A281" s="2">
        <v>1262070101</v>
      </c>
      <c r="B281" s="6" t="s">
        <v>677</v>
      </c>
      <c r="C281" s="2" t="s">
        <v>477</v>
      </c>
      <c r="D281" s="4">
        <v>9.5679999999999996</v>
      </c>
      <c r="E281" s="4">
        <v>8</v>
      </c>
      <c r="F281" s="4">
        <v>1.5680000000000001</v>
      </c>
    </row>
    <row r="282" spans="1:6" x14ac:dyDescent="0.35">
      <c r="A282" s="2">
        <v>1262070102</v>
      </c>
      <c r="B282" s="6" t="s">
        <v>678</v>
      </c>
      <c r="C282" s="2" t="s">
        <v>477</v>
      </c>
      <c r="D282" s="4">
        <v>9.9507200000000005</v>
      </c>
      <c r="E282" s="4">
        <v>8.32</v>
      </c>
      <c r="F282" s="4">
        <v>1.6307199999999999</v>
      </c>
    </row>
    <row r="283" spans="1:6" x14ac:dyDescent="0.35">
      <c r="A283" s="2">
        <v>1262070103</v>
      </c>
      <c r="B283" s="6" t="s">
        <v>679</v>
      </c>
      <c r="C283" s="2" t="s">
        <v>477</v>
      </c>
      <c r="D283" s="4">
        <v>11.362191360000001</v>
      </c>
      <c r="E283" s="4">
        <v>9.5001599999999993</v>
      </c>
      <c r="F283" s="4">
        <v>1.86203136</v>
      </c>
    </row>
    <row r="284" spans="1:6" x14ac:dyDescent="0.35">
      <c r="A284" s="2">
        <v>1262070104</v>
      </c>
      <c r="B284" s="6" t="s">
        <v>680</v>
      </c>
      <c r="C284" s="2" t="s">
        <v>477</v>
      </c>
      <c r="D284" s="4">
        <v>13.77792</v>
      </c>
      <c r="E284" s="4">
        <v>11.52</v>
      </c>
      <c r="F284" s="4">
        <v>2.2579199999999999</v>
      </c>
    </row>
    <row r="285" spans="1:6" x14ac:dyDescent="0.35">
      <c r="A285" s="2">
        <v>1262070105</v>
      </c>
      <c r="B285" s="6" t="s">
        <v>681</v>
      </c>
      <c r="C285" s="2" t="s">
        <v>477</v>
      </c>
      <c r="D285" s="4">
        <v>18.370560000000001</v>
      </c>
      <c r="E285" s="4">
        <v>15.36</v>
      </c>
      <c r="F285" s="4">
        <v>3.0105599999999999</v>
      </c>
    </row>
    <row r="286" spans="1:6" x14ac:dyDescent="0.35">
      <c r="A286" s="2">
        <v>1262070106</v>
      </c>
      <c r="B286" s="6" t="s">
        <v>682</v>
      </c>
      <c r="C286" s="2" t="s">
        <v>477</v>
      </c>
      <c r="D286" s="4">
        <v>10.36520576</v>
      </c>
      <c r="E286" s="4">
        <v>8.6665600000000005</v>
      </c>
      <c r="F286" s="4">
        <v>1.69864576</v>
      </c>
    </row>
    <row r="287" spans="1:6" x14ac:dyDescent="0.35">
      <c r="A287" s="2">
        <v>1262070107</v>
      </c>
      <c r="B287" s="6" t="s">
        <v>683</v>
      </c>
      <c r="C287" s="2" t="s">
        <v>477</v>
      </c>
      <c r="D287" s="4">
        <v>10.763999999999999</v>
      </c>
      <c r="E287" s="4">
        <v>9</v>
      </c>
      <c r="F287" s="4">
        <v>1.764</v>
      </c>
    </row>
    <row r="288" spans="1:6" x14ac:dyDescent="0.35">
      <c r="A288" s="2">
        <v>1262070108</v>
      </c>
      <c r="B288" s="6" t="s">
        <v>684</v>
      </c>
      <c r="C288" s="2" t="s">
        <v>477</v>
      </c>
      <c r="D288" s="4">
        <v>10.90752</v>
      </c>
      <c r="E288" s="4">
        <v>9.1199999999999992</v>
      </c>
      <c r="F288" s="4">
        <v>1.78752</v>
      </c>
    </row>
    <row r="289" spans="1:6" x14ac:dyDescent="0.35">
      <c r="A289" s="2">
        <v>1262070109</v>
      </c>
      <c r="B289" s="6" t="s">
        <v>685</v>
      </c>
      <c r="C289" s="2" t="s">
        <v>477</v>
      </c>
      <c r="D289" s="4">
        <v>14.352</v>
      </c>
      <c r="E289" s="4">
        <v>12</v>
      </c>
      <c r="F289" s="4">
        <v>2.3519999999999999</v>
      </c>
    </row>
    <row r="290" spans="1:6" x14ac:dyDescent="0.35">
      <c r="A290" s="2">
        <v>1262070110</v>
      </c>
      <c r="B290" s="6" t="s">
        <v>686</v>
      </c>
      <c r="C290" s="2" t="s">
        <v>477</v>
      </c>
      <c r="D290" s="4">
        <v>13.77792</v>
      </c>
      <c r="E290" s="4">
        <v>11.52</v>
      </c>
      <c r="F290" s="4">
        <v>2.2579199999999999</v>
      </c>
    </row>
    <row r="291" spans="1:6" x14ac:dyDescent="0.35">
      <c r="A291" s="2">
        <v>1262070111</v>
      </c>
      <c r="B291" s="6" t="s">
        <v>687</v>
      </c>
      <c r="C291" s="2" t="s">
        <v>477</v>
      </c>
      <c r="D291" s="4">
        <v>18.370560000000001</v>
      </c>
      <c r="E291" s="4">
        <v>15.36</v>
      </c>
      <c r="F291" s="4">
        <v>3.0105599999999999</v>
      </c>
    </row>
    <row r="292" spans="1:6" x14ac:dyDescent="0.35">
      <c r="A292" s="2">
        <v>1262070112</v>
      </c>
      <c r="B292" s="6" t="s">
        <v>688</v>
      </c>
      <c r="C292" s="2" t="s">
        <v>477</v>
      </c>
      <c r="D292" s="4">
        <v>9.5679999999999996</v>
      </c>
      <c r="E292" s="4">
        <v>8</v>
      </c>
      <c r="F292" s="4">
        <v>1.5680000000000001</v>
      </c>
    </row>
    <row r="293" spans="1:6" x14ac:dyDescent="0.35">
      <c r="A293" s="2">
        <v>1262070113</v>
      </c>
      <c r="B293" s="6" t="s">
        <v>689</v>
      </c>
      <c r="C293" s="2" t="s">
        <v>477</v>
      </c>
      <c r="D293" s="4">
        <v>10.763999999999999</v>
      </c>
      <c r="E293" s="4">
        <v>9</v>
      </c>
      <c r="F293" s="4">
        <v>1.764</v>
      </c>
    </row>
    <row r="294" spans="1:6" x14ac:dyDescent="0.35">
      <c r="A294" s="2">
        <v>1262070114</v>
      </c>
      <c r="B294" s="6" t="s">
        <v>690</v>
      </c>
      <c r="C294" s="2" t="s">
        <v>477</v>
      </c>
      <c r="D294" s="4">
        <v>10.33344</v>
      </c>
      <c r="E294" s="4">
        <v>8.64</v>
      </c>
      <c r="F294" s="4">
        <v>1.6934400000000001</v>
      </c>
    </row>
    <row r="295" spans="1:6" x14ac:dyDescent="0.35">
      <c r="A295" s="2">
        <v>1262070115</v>
      </c>
      <c r="B295" s="6" t="s">
        <v>691</v>
      </c>
      <c r="C295" s="2" t="s">
        <v>477</v>
      </c>
      <c r="D295" s="4">
        <v>10.90752</v>
      </c>
      <c r="E295" s="4">
        <v>9.1199999999999992</v>
      </c>
      <c r="F295" s="4">
        <v>1.78752</v>
      </c>
    </row>
    <row r="296" spans="1:6" x14ac:dyDescent="0.35">
      <c r="A296" s="2">
        <v>1262070116</v>
      </c>
      <c r="B296" s="6" t="s">
        <v>692</v>
      </c>
      <c r="C296" s="2" t="s">
        <v>477</v>
      </c>
      <c r="D296" s="4">
        <v>13.77792</v>
      </c>
      <c r="E296" s="4">
        <v>11.52</v>
      </c>
      <c r="F296" s="4">
        <v>2.2579199999999999</v>
      </c>
    </row>
    <row r="297" spans="1:6" x14ac:dyDescent="0.35">
      <c r="A297" s="2">
        <v>1262070118</v>
      </c>
      <c r="B297" s="6" t="s">
        <v>693</v>
      </c>
      <c r="C297" s="2" t="s">
        <v>477</v>
      </c>
      <c r="D297" s="4">
        <v>11.362191360000001</v>
      </c>
      <c r="E297" s="4">
        <v>9.5001599999999993</v>
      </c>
      <c r="F297" s="4">
        <v>1.86203136</v>
      </c>
    </row>
    <row r="298" spans="1:6" x14ac:dyDescent="0.35">
      <c r="A298" s="2">
        <v>1262070119</v>
      </c>
      <c r="B298" s="6" t="s">
        <v>694</v>
      </c>
      <c r="C298" s="2" t="s">
        <v>477</v>
      </c>
      <c r="D298" s="4">
        <v>19.135999999999999</v>
      </c>
      <c r="E298" s="4">
        <v>16</v>
      </c>
      <c r="F298" s="4">
        <v>3.1360000000000001</v>
      </c>
    </row>
    <row r="299" spans="1:6" x14ac:dyDescent="0.35">
      <c r="A299" s="2">
        <v>1262070120</v>
      </c>
      <c r="B299" s="6" t="s">
        <v>695</v>
      </c>
      <c r="C299" s="2" t="s">
        <v>477</v>
      </c>
      <c r="D299" s="4">
        <v>25.116</v>
      </c>
      <c r="E299" s="4">
        <v>21</v>
      </c>
      <c r="F299" s="4">
        <v>4.1159999999999997</v>
      </c>
    </row>
    <row r="300" spans="1:6" x14ac:dyDescent="0.35">
      <c r="A300" s="2">
        <v>1262070121</v>
      </c>
      <c r="B300" s="6" t="s">
        <v>696</v>
      </c>
      <c r="C300" s="2" t="s">
        <v>477</v>
      </c>
      <c r="D300" s="4">
        <v>35.880000000000003</v>
      </c>
      <c r="E300" s="4">
        <v>30</v>
      </c>
      <c r="F300" s="4">
        <v>5.88</v>
      </c>
    </row>
    <row r="301" spans="1:6" x14ac:dyDescent="0.35">
      <c r="A301" s="2">
        <v>1262070122</v>
      </c>
      <c r="B301" s="6" t="s">
        <v>697</v>
      </c>
      <c r="C301" s="2" t="s">
        <v>477</v>
      </c>
      <c r="D301" s="4">
        <v>18.370560000000001</v>
      </c>
      <c r="E301" s="4">
        <v>15.36</v>
      </c>
      <c r="F301" s="4">
        <v>3.0105599999999999</v>
      </c>
    </row>
    <row r="302" spans="1:6" x14ac:dyDescent="0.35">
      <c r="A302" s="2">
        <v>1262070123</v>
      </c>
      <c r="B302" s="6" t="s">
        <v>698</v>
      </c>
      <c r="C302" s="2" t="s">
        <v>477</v>
      </c>
      <c r="D302" s="4">
        <v>18.370560000000001</v>
      </c>
      <c r="E302" s="4">
        <v>15.36</v>
      </c>
      <c r="F302" s="4">
        <v>3.0105599999999999</v>
      </c>
    </row>
    <row r="303" spans="1:6" x14ac:dyDescent="0.35">
      <c r="A303" s="2">
        <v>1262070124</v>
      </c>
      <c r="B303" s="6" t="s">
        <v>699</v>
      </c>
      <c r="C303" s="2" t="s">
        <v>477</v>
      </c>
      <c r="D303" s="4">
        <v>9.9667942400000005</v>
      </c>
      <c r="E303" s="4">
        <v>8.3334399999999995</v>
      </c>
      <c r="F303" s="4">
        <v>1.6333542400000001</v>
      </c>
    </row>
    <row r="304" spans="1:6" x14ac:dyDescent="0.35">
      <c r="A304" s="2">
        <v>1262070125</v>
      </c>
      <c r="B304" s="6" t="s">
        <v>700</v>
      </c>
      <c r="C304" s="2" t="s">
        <v>477</v>
      </c>
      <c r="D304" s="4">
        <v>9.5679999999999996</v>
      </c>
      <c r="E304" s="4">
        <v>8</v>
      </c>
      <c r="F304" s="4">
        <v>1.5680000000000001</v>
      </c>
    </row>
    <row r="305" spans="1:6" x14ac:dyDescent="0.35">
      <c r="A305" s="2">
        <v>1262070126</v>
      </c>
      <c r="B305" s="6" t="s">
        <v>701</v>
      </c>
      <c r="C305" s="2" t="s">
        <v>477</v>
      </c>
      <c r="D305" s="4">
        <v>9.9507200000000005</v>
      </c>
      <c r="E305" s="4">
        <v>8.32</v>
      </c>
      <c r="F305" s="4">
        <v>1.6307199999999999</v>
      </c>
    </row>
    <row r="306" spans="1:6" x14ac:dyDescent="0.35">
      <c r="A306" s="2">
        <v>1262070127</v>
      </c>
      <c r="B306" s="6" t="s">
        <v>702</v>
      </c>
      <c r="C306" s="2" t="s">
        <v>477</v>
      </c>
      <c r="D306" s="4">
        <v>10.33344</v>
      </c>
      <c r="E306" s="4">
        <v>8.64</v>
      </c>
      <c r="F306" s="4">
        <v>1.6934400000000001</v>
      </c>
    </row>
    <row r="307" spans="1:6" x14ac:dyDescent="0.35">
      <c r="A307" s="2">
        <v>1262070128</v>
      </c>
      <c r="B307" s="6" t="s">
        <v>703</v>
      </c>
      <c r="C307" s="2" t="s">
        <v>477</v>
      </c>
      <c r="D307" s="4">
        <v>10.90752</v>
      </c>
      <c r="E307" s="4">
        <v>9.1199999999999992</v>
      </c>
      <c r="F307" s="4">
        <v>1.78752</v>
      </c>
    </row>
    <row r="308" spans="1:6" x14ac:dyDescent="0.35">
      <c r="A308" s="2">
        <v>1262070129</v>
      </c>
      <c r="B308" s="6" t="s">
        <v>704</v>
      </c>
      <c r="C308" s="2" t="s">
        <v>477</v>
      </c>
      <c r="D308" s="4">
        <v>13.77792</v>
      </c>
      <c r="E308" s="4">
        <v>11.52</v>
      </c>
      <c r="F308" s="4">
        <v>2.2579199999999999</v>
      </c>
    </row>
    <row r="309" spans="1:6" x14ac:dyDescent="0.35">
      <c r="A309" s="2">
        <v>1262070130</v>
      </c>
      <c r="B309" s="6" t="s">
        <v>705</v>
      </c>
      <c r="C309" s="2" t="s">
        <v>477</v>
      </c>
      <c r="D309" s="4">
        <v>18.370560000000001</v>
      </c>
      <c r="E309" s="4">
        <v>15.36</v>
      </c>
      <c r="F309" s="4">
        <v>3.0105599999999999</v>
      </c>
    </row>
    <row r="310" spans="1:6" x14ac:dyDescent="0.35">
      <c r="A310" s="2">
        <v>1262070131</v>
      </c>
      <c r="B310" s="6" t="s">
        <v>706</v>
      </c>
      <c r="C310" s="2" t="s">
        <v>477</v>
      </c>
      <c r="D310" s="4">
        <v>9.5679999999999996</v>
      </c>
      <c r="E310" s="4">
        <v>8</v>
      </c>
      <c r="F310" s="4">
        <v>1.5680000000000001</v>
      </c>
    </row>
    <row r="311" spans="1:6" x14ac:dyDescent="0.35">
      <c r="A311" s="2">
        <v>1262070132</v>
      </c>
      <c r="B311" s="6" t="s">
        <v>707</v>
      </c>
      <c r="C311" s="2" t="s">
        <v>477</v>
      </c>
      <c r="D311" s="4">
        <v>10.33344</v>
      </c>
      <c r="E311" s="4">
        <v>8.64</v>
      </c>
      <c r="F311" s="4">
        <v>1.6934400000000001</v>
      </c>
    </row>
    <row r="312" spans="1:6" x14ac:dyDescent="0.35">
      <c r="A312" s="2">
        <v>1262070133</v>
      </c>
      <c r="B312" s="6" t="s">
        <v>708</v>
      </c>
      <c r="C312" s="2" t="s">
        <v>477</v>
      </c>
      <c r="D312" s="4">
        <v>10.90752</v>
      </c>
      <c r="E312" s="4">
        <v>9.1199999999999992</v>
      </c>
      <c r="F312" s="4">
        <v>1.78752</v>
      </c>
    </row>
    <row r="313" spans="1:6" x14ac:dyDescent="0.35">
      <c r="A313" s="2">
        <v>1262070134</v>
      </c>
      <c r="B313" s="6" t="s">
        <v>709</v>
      </c>
      <c r="C313" s="2" t="s">
        <v>477</v>
      </c>
      <c r="D313" s="4">
        <v>13.77792</v>
      </c>
      <c r="E313" s="4">
        <v>11.52</v>
      </c>
      <c r="F313" s="4">
        <v>2.2579199999999999</v>
      </c>
    </row>
    <row r="314" spans="1:6" x14ac:dyDescent="0.35">
      <c r="A314" s="2">
        <v>1262070135</v>
      </c>
      <c r="B314" s="6" t="s">
        <v>710</v>
      </c>
      <c r="C314" s="2" t="s">
        <v>477</v>
      </c>
      <c r="D314" s="4">
        <v>18.370560000000001</v>
      </c>
      <c r="E314" s="4">
        <v>15.36</v>
      </c>
      <c r="F314" s="4">
        <v>3.0105599999999999</v>
      </c>
    </row>
    <row r="315" spans="1:6" x14ac:dyDescent="0.35">
      <c r="A315" s="2">
        <v>1262070136</v>
      </c>
      <c r="B315" s="6" t="s">
        <v>711</v>
      </c>
      <c r="C315" s="2" t="s">
        <v>477</v>
      </c>
      <c r="D315" s="4">
        <v>24.111360000000001</v>
      </c>
      <c r="E315" s="4">
        <v>20.16</v>
      </c>
      <c r="F315" s="4">
        <v>3.9513600000000002</v>
      </c>
    </row>
    <row r="316" spans="1:6" x14ac:dyDescent="0.35">
      <c r="A316" s="2">
        <v>1262070137</v>
      </c>
      <c r="B316" s="6" t="s">
        <v>712</v>
      </c>
      <c r="C316" s="2" t="s">
        <v>477</v>
      </c>
      <c r="D316" s="4">
        <v>35.880000000000003</v>
      </c>
      <c r="E316" s="4">
        <v>30</v>
      </c>
      <c r="F316" s="4">
        <v>5.88</v>
      </c>
    </row>
    <row r="317" spans="1:6" x14ac:dyDescent="0.35">
      <c r="A317" s="2">
        <v>1262070146</v>
      </c>
      <c r="B317" s="6" t="s">
        <v>713</v>
      </c>
      <c r="C317" s="2" t="s">
        <v>477</v>
      </c>
      <c r="D317" s="4">
        <v>9.9667942400000005</v>
      </c>
      <c r="E317" s="4">
        <v>8.3334399999999995</v>
      </c>
      <c r="F317" s="4">
        <v>1.6333542400000001</v>
      </c>
    </row>
    <row r="318" spans="1:6" x14ac:dyDescent="0.35">
      <c r="A318" s="2">
        <v>1262070147</v>
      </c>
      <c r="B318" s="6" t="s">
        <v>714</v>
      </c>
      <c r="C318" s="2" t="s">
        <v>477</v>
      </c>
      <c r="D318" s="4">
        <v>9.9667942400000005</v>
      </c>
      <c r="E318" s="4">
        <v>8.3334399999999995</v>
      </c>
      <c r="F318" s="4">
        <v>1.6333542400000001</v>
      </c>
    </row>
    <row r="319" spans="1:6" x14ac:dyDescent="0.35">
      <c r="A319" s="2">
        <v>1262070151</v>
      </c>
      <c r="B319" s="6" t="s">
        <v>715</v>
      </c>
      <c r="C319" s="2" t="s">
        <v>477</v>
      </c>
      <c r="D319" s="4">
        <v>9.5679999999999996</v>
      </c>
      <c r="E319" s="4">
        <v>8</v>
      </c>
      <c r="F319" s="4">
        <v>1.5680000000000001</v>
      </c>
    </row>
    <row r="320" spans="1:6" x14ac:dyDescent="0.35">
      <c r="A320" s="2">
        <v>1262070152</v>
      </c>
      <c r="B320" s="6" t="s">
        <v>716</v>
      </c>
      <c r="C320" s="2" t="s">
        <v>477</v>
      </c>
      <c r="D320" s="4">
        <v>9.5679999999999996</v>
      </c>
      <c r="E320" s="4">
        <v>8</v>
      </c>
      <c r="F320" s="4">
        <v>1.5680000000000001</v>
      </c>
    </row>
    <row r="321" spans="1:6" x14ac:dyDescent="0.35">
      <c r="A321" s="2">
        <v>1262070153</v>
      </c>
      <c r="B321" s="6" t="s">
        <v>717</v>
      </c>
      <c r="C321" s="2" t="s">
        <v>477</v>
      </c>
      <c r="D321" s="4">
        <v>10.166191359999999</v>
      </c>
      <c r="E321" s="4">
        <v>8.5001599999999993</v>
      </c>
      <c r="F321" s="4">
        <v>1.6660313600000001</v>
      </c>
    </row>
    <row r="322" spans="1:6" x14ac:dyDescent="0.35">
      <c r="A322" s="2">
        <v>1262070156</v>
      </c>
      <c r="B322" s="6" t="s">
        <v>718</v>
      </c>
      <c r="C322" s="2" t="s">
        <v>477</v>
      </c>
      <c r="D322" s="4">
        <v>10.33344</v>
      </c>
      <c r="E322" s="4">
        <v>8.64</v>
      </c>
      <c r="F322" s="4">
        <v>1.6934400000000001</v>
      </c>
    </row>
    <row r="323" spans="1:6" x14ac:dyDescent="0.35">
      <c r="A323" s="2">
        <v>1262070158</v>
      </c>
      <c r="B323" s="6" t="s">
        <v>719</v>
      </c>
      <c r="C323" s="2" t="s">
        <v>477</v>
      </c>
      <c r="D323" s="4">
        <v>10.564602880000001</v>
      </c>
      <c r="E323" s="4">
        <v>8.8332800000000002</v>
      </c>
      <c r="F323" s="4">
        <v>1.73132288</v>
      </c>
    </row>
    <row r="324" spans="1:6" x14ac:dyDescent="0.35">
      <c r="A324" s="2">
        <v>1262070173</v>
      </c>
      <c r="B324" s="6" t="s">
        <v>720</v>
      </c>
      <c r="C324" s="2" t="s">
        <v>477</v>
      </c>
      <c r="D324" s="4">
        <v>11.362191360000001</v>
      </c>
      <c r="E324" s="4">
        <v>9.5001599999999993</v>
      </c>
      <c r="F324" s="4">
        <v>1.86203136</v>
      </c>
    </row>
    <row r="325" spans="1:6" x14ac:dyDescent="0.35">
      <c r="A325" s="2">
        <v>1262070176</v>
      </c>
      <c r="B325" s="6" t="s">
        <v>721</v>
      </c>
      <c r="C325" s="2" t="s">
        <v>477</v>
      </c>
      <c r="D325" s="4">
        <v>11.362191360000001</v>
      </c>
      <c r="E325" s="4">
        <v>9.5001599999999993</v>
      </c>
      <c r="F325" s="4">
        <v>1.86203136</v>
      </c>
    </row>
    <row r="326" spans="1:6" x14ac:dyDescent="0.35">
      <c r="A326" s="2">
        <v>1262070186</v>
      </c>
      <c r="B326" s="6" t="s">
        <v>722</v>
      </c>
      <c r="C326" s="2" t="s">
        <v>477</v>
      </c>
      <c r="D326" s="4">
        <v>11.362191360000001</v>
      </c>
      <c r="E326" s="4">
        <v>9.5001599999999993</v>
      </c>
      <c r="F326" s="4">
        <v>1.86203136</v>
      </c>
    </row>
    <row r="327" spans="1:6" x14ac:dyDescent="0.35">
      <c r="A327" s="2">
        <v>1262070187</v>
      </c>
      <c r="B327" s="6" t="s">
        <v>723</v>
      </c>
      <c r="C327" s="2" t="s">
        <v>477</v>
      </c>
      <c r="D327" s="4">
        <v>11.362191360000001</v>
      </c>
      <c r="E327" s="4">
        <v>9.5001599999999993</v>
      </c>
      <c r="F327" s="4">
        <v>1.86203136</v>
      </c>
    </row>
    <row r="328" spans="1:6" x14ac:dyDescent="0.35">
      <c r="A328" s="2">
        <v>1262070189</v>
      </c>
      <c r="B328" s="6" t="s">
        <v>724</v>
      </c>
      <c r="C328" s="2" t="s">
        <v>477</v>
      </c>
      <c r="D328" s="4">
        <v>11.362191360000001</v>
      </c>
      <c r="E328" s="4">
        <v>9.5001599999999993</v>
      </c>
      <c r="F328" s="4">
        <v>1.86203136</v>
      </c>
    </row>
    <row r="329" spans="1:6" x14ac:dyDescent="0.35">
      <c r="A329" s="2">
        <v>1262070191</v>
      </c>
      <c r="B329" s="6" t="s">
        <v>725</v>
      </c>
      <c r="C329" s="2" t="s">
        <v>477</v>
      </c>
      <c r="D329" s="4">
        <v>13.77792</v>
      </c>
      <c r="E329" s="4">
        <v>11.52</v>
      </c>
      <c r="F329" s="4">
        <v>2.2579199999999999</v>
      </c>
    </row>
    <row r="330" spans="1:6" x14ac:dyDescent="0.35">
      <c r="A330" s="2">
        <v>1262070197</v>
      </c>
      <c r="B330" s="6" t="s">
        <v>726</v>
      </c>
      <c r="C330" s="2" t="s">
        <v>477</v>
      </c>
      <c r="D330" s="4">
        <v>13.77792</v>
      </c>
      <c r="E330" s="4">
        <v>11.52</v>
      </c>
      <c r="F330" s="4">
        <v>2.2579199999999999</v>
      </c>
    </row>
    <row r="331" spans="1:6" x14ac:dyDescent="0.35">
      <c r="A331" s="2">
        <v>1262070199</v>
      </c>
      <c r="B331" s="6" t="s">
        <v>727</v>
      </c>
      <c r="C331" s="2" t="s">
        <v>477</v>
      </c>
      <c r="D331" s="4">
        <v>14.352</v>
      </c>
      <c r="E331" s="4">
        <v>12</v>
      </c>
      <c r="F331" s="4">
        <v>2.3519999999999999</v>
      </c>
    </row>
    <row r="332" spans="1:6" x14ac:dyDescent="0.35">
      <c r="A332" s="2">
        <v>1262070207</v>
      </c>
      <c r="B332" s="6" t="s">
        <v>728</v>
      </c>
      <c r="C332" s="2" t="s">
        <v>477</v>
      </c>
      <c r="D332" s="4">
        <v>19.135999999999999</v>
      </c>
      <c r="E332" s="4">
        <v>16</v>
      </c>
      <c r="F332" s="4">
        <v>3.1360000000000001</v>
      </c>
    </row>
    <row r="333" spans="1:6" x14ac:dyDescent="0.35">
      <c r="A333" s="2">
        <v>1262070208</v>
      </c>
      <c r="B333" s="6" t="s">
        <v>729</v>
      </c>
      <c r="C333" s="2" t="s">
        <v>477</v>
      </c>
      <c r="D333" s="4">
        <v>19.135999999999999</v>
      </c>
      <c r="E333" s="4">
        <v>16</v>
      </c>
      <c r="F333" s="4">
        <v>3.1360000000000001</v>
      </c>
    </row>
    <row r="334" spans="1:6" x14ac:dyDescent="0.35">
      <c r="A334" s="2">
        <v>1262070210</v>
      </c>
      <c r="B334" s="6" t="s">
        <v>730</v>
      </c>
      <c r="C334" s="2" t="s">
        <v>477</v>
      </c>
      <c r="D334" s="4">
        <v>18.370560000000001</v>
      </c>
      <c r="E334" s="4">
        <v>15.36</v>
      </c>
      <c r="F334" s="4">
        <v>3.0105599999999999</v>
      </c>
    </row>
    <row r="335" spans="1:6" x14ac:dyDescent="0.35">
      <c r="A335" s="2">
        <v>1262070211</v>
      </c>
      <c r="B335" s="6" t="s">
        <v>731</v>
      </c>
      <c r="C335" s="2" t="s">
        <v>477</v>
      </c>
      <c r="D335" s="4">
        <v>19.135999999999999</v>
      </c>
      <c r="E335" s="4">
        <v>16</v>
      </c>
      <c r="F335" s="4">
        <v>3.1360000000000001</v>
      </c>
    </row>
    <row r="336" spans="1:6" x14ac:dyDescent="0.35">
      <c r="A336" s="2">
        <v>1262070212</v>
      </c>
      <c r="B336" s="6" t="s">
        <v>732</v>
      </c>
      <c r="C336" s="2" t="s">
        <v>477</v>
      </c>
      <c r="D336" s="4">
        <v>19.135999999999999</v>
      </c>
      <c r="E336" s="4">
        <v>16</v>
      </c>
      <c r="F336" s="4">
        <v>3.1360000000000001</v>
      </c>
    </row>
    <row r="337" spans="1:6" x14ac:dyDescent="0.35">
      <c r="A337" s="2">
        <v>1262070225</v>
      </c>
      <c r="B337" s="6" t="s">
        <v>733</v>
      </c>
      <c r="C337" s="2" t="s">
        <v>477</v>
      </c>
      <c r="D337" s="4">
        <v>25.116</v>
      </c>
      <c r="E337" s="4">
        <v>21</v>
      </c>
      <c r="F337" s="4">
        <v>4.1159999999999997</v>
      </c>
    </row>
    <row r="338" spans="1:6" x14ac:dyDescent="0.35">
      <c r="A338" s="2">
        <v>1262070232</v>
      </c>
      <c r="B338" s="6" t="s">
        <v>734</v>
      </c>
      <c r="C338" s="2" t="s">
        <v>477</v>
      </c>
      <c r="D338" s="4">
        <v>10.33344</v>
      </c>
      <c r="E338" s="4">
        <v>8.64</v>
      </c>
      <c r="F338" s="4">
        <v>1.6934400000000001</v>
      </c>
    </row>
    <row r="339" spans="1:6" x14ac:dyDescent="0.35">
      <c r="A339" s="2">
        <v>1262070233</v>
      </c>
      <c r="B339" s="6" t="s">
        <v>735</v>
      </c>
      <c r="C339" s="2" t="s">
        <v>477</v>
      </c>
      <c r="D339" s="4">
        <v>11.362191360000001</v>
      </c>
      <c r="E339" s="4">
        <v>9.5001599999999993</v>
      </c>
      <c r="F339" s="4">
        <v>1.86203136</v>
      </c>
    </row>
    <row r="340" spans="1:6" x14ac:dyDescent="0.35">
      <c r="A340" s="2">
        <v>1262070234</v>
      </c>
      <c r="B340" s="6" t="s">
        <v>736</v>
      </c>
      <c r="C340" s="2" t="s">
        <v>477</v>
      </c>
      <c r="D340" s="4">
        <v>10.90752</v>
      </c>
      <c r="E340" s="4">
        <v>9.1199999999999992</v>
      </c>
      <c r="F340" s="4">
        <v>1.78752</v>
      </c>
    </row>
    <row r="341" spans="1:6" x14ac:dyDescent="0.35">
      <c r="A341" s="2">
        <v>1262070235</v>
      </c>
      <c r="B341" s="6" t="s">
        <v>737</v>
      </c>
      <c r="C341" s="2" t="s">
        <v>477</v>
      </c>
      <c r="D341" s="4">
        <v>9.5679999999999996</v>
      </c>
      <c r="E341" s="4">
        <v>8</v>
      </c>
      <c r="F341" s="4">
        <v>1.5680000000000001</v>
      </c>
    </row>
    <row r="342" spans="1:6" x14ac:dyDescent="0.35">
      <c r="A342" s="2">
        <v>1262070236</v>
      </c>
      <c r="B342" s="6" t="s">
        <v>738</v>
      </c>
      <c r="C342" s="2" t="s">
        <v>477</v>
      </c>
      <c r="D342" s="4">
        <v>10.33344</v>
      </c>
      <c r="E342" s="4">
        <v>8.64</v>
      </c>
      <c r="F342" s="4">
        <v>1.6934400000000001</v>
      </c>
    </row>
    <row r="343" spans="1:6" x14ac:dyDescent="0.35">
      <c r="A343" s="2">
        <v>1262070237</v>
      </c>
      <c r="B343" s="6" t="s">
        <v>739</v>
      </c>
      <c r="C343" s="2" t="s">
        <v>477</v>
      </c>
      <c r="D343" s="4">
        <v>18.370560000000001</v>
      </c>
      <c r="E343" s="4">
        <v>15.36</v>
      </c>
      <c r="F343" s="4">
        <v>3.0105599999999999</v>
      </c>
    </row>
    <row r="344" spans="1:6" x14ac:dyDescent="0.35">
      <c r="A344" s="2">
        <v>1262070238</v>
      </c>
      <c r="B344" s="6" t="s">
        <v>740</v>
      </c>
      <c r="C344" s="2" t="s">
        <v>477</v>
      </c>
      <c r="D344" s="4">
        <v>18.370560000000001</v>
      </c>
      <c r="E344" s="4">
        <v>15.36</v>
      </c>
      <c r="F344" s="4">
        <v>3.0105599999999999</v>
      </c>
    </row>
    <row r="345" spans="1:6" x14ac:dyDescent="0.35">
      <c r="A345" s="2">
        <v>1262070239</v>
      </c>
      <c r="B345" s="6" t="s">
        <v>741</v>
      </c>
      <c r="C345" s="2" t="s">
        <v>477</v>
      </c>
      <c r="D345" s="4">
        <v>9.5679999999999996</v>
      </c>
      <c r="E345" s="4">
        <v>8</v>
      </c>
      <c r="F345" s="4">
        <v>1.5680000000000001</v>
      </c>
    </row>
    <row r="346" spans="1:6" x14ac:dyDescent="0.35">
      <c r="A346" s="2">
        <v>1262070240</v>
      </c>
      <c r="B346" s="6" t="s">
        <v>742</v>
      </c>
      <c r="C346" s="2" t="s">
        <v>477</v>
      </c>
      <c r="D346" s="4">
        <v>10.90752</v>
      </c>
      <c r="E346" s="4">
        <v>9.1199999999999992</v>
      </c>
      <c r="F346" s="4">
        <v>1.78752</v>
      </c>
    </row>
    <row r="347" spans="1:6" x14ac:dyDescent="0.35">
      <c r="A347" s="2">
        <v>1262070241</v>
      </c>
      <c r="B347" s="6" t="s">
        <v>743</v>
      </c>
      <c r="C347" s="2" t="s">
        <v>477</v>
      </c>
      <c r="D347" s="4">
        <v>11.362191360000001</v>
      </c>
      <c r="E347" s="4">
        <v>9.5001599999999993</v>
      </c>
      <c r="F347" s="4">
        <v>1.86203136</v>
      </c>
    </row>
    <row r="348" spans="1:6" x14ac:dyDescent="0.35">
      <c r="A348" s="2">
        <v>1262070242</v>
      </c>
      <c r="B348" s="6" t="s">
        <v>744</v>
      </c>
      <c r="C348" s="2" t="s">
        <v>477</v>
      </c>
      <c r="D348" s="4">
        <v>13.77792</v>
      </c>
      <c r="E348" s="4">
        <v>11.52</v>
      </c>
      <c r="F348" s="4">
        <v>2.2579199999999999</v>
      </c>
    </row>
    <row r="349" spans="1:6" x14ac:dyDescent="0.35">
      <c r="A349" s="2">
        <v>1262070243</v>
      </c>
      <c r="B349" s="6" t="s">
        <v>745</v>
      </c>
      <c r="C349" s="2" t="s">
        <v>477</v>
      </c>
      <c r="D349" s="4">
        <v>19.135999999999999</v>
      </c>
      <c r="E349" s="4">
        <v>16</v>
      </c>
      <c r="F349" s="4">
        <v>3.1360000000000001</v>
      </c>
    </row>
    <row r="350" spans="1:6" x14ac:dyDescent="0.35">
      <c r="A350" s="2">
        <v>1262070244</v>
      </c>
      <c r="B350" s="6" t="s">
        <v>746</v>
      </c>
      <c r="C350" s="2" t="s">
        <v>477</v>
      </c>
      <c r="D350" s="4">
        <v>19.135999999999999</v>
      </c>
      <c r="E350" s="4">
        <v>16</v>
      </c>
      <c r="F350" s="4">
        <v>3.1360000000000001</v>
      </c>
    </row>
    <row r="351" spans="1:6" x14ac:dyDescent="0.35">
      <c r="A351" s="2">
        <v>1262070245</v>
      </c>
      <c r="B351" s="6" t="s">
        <v>747</v>
      </c>
      <c r="C351" s="2" t="s">
        <v>477</v>
      </c>
      <c r="D351" s="4">
        <v>24.111360000000001</v>
      </c>
      <c r="E351" s="4">
        <v>20.16</v>
      </c>
      <c r="F351" s="4">
        <v>3.9513600000000002</v>
      </c>
    </row>
    <row r="352" spans="1:6" x14ac:dyDescent="0.35">
      <c r="A352" s="2">
        <v>1262070246</v>
      </c>
      <c r="B352" s="6" t="s">
        <v>748</v>
      </c>
      <c r="C352" s="2" t="s">
        <v>477</v>
      </c>
      <c r="D352" s="4">
        <v>14.352</v>
      </c>
      <c r="E352" s="4">
        <v>12</v>
      </c>
      <c r="F352" s="4">
        <v>2.3519999999999999</v>
      </c>
    </row>
    <row r="353" spans="1:6" x14ac:dyDescent="0.35">
      <c r="A353" s="2">
        <v>1262070247</v>
      </c>
      <c r="B353" s="6" t="s">
        <v>749</v>
      </c>
      <c r="C353" s="2" t="s">
        <v>477</v>
      </c>
      <c r="D353" s="4">
        <v>13.77792</v>
      </c>
      <c r="E353" s="4">
        <v>11.52</v>
      </c>
      <c r="F353" s="4">
        <v>2.2579199999999999</v>
      </c>
    </row>
    <row r="354" spans="1:6" x14ac:dyDescent="0.35">
      <c r="A354" s="2">
        <v>1262070251</v>
      </c>
      <c r="B354" s="6" t="s">
        <v>750</v>
      </c>
      <c r="C354" s="2" t="s">
        <v>477</v>
      </c>
      <c r="D354" s="4">
        <v>14.352</v>
      </c>
      <c r="E354" s="4">
        <v>12</v>
      </c>
      <c r="F354" s="4">
        <v>2.3519999999999999</v>
      </c>
    </row>
    <row r="355" spans="1:6" x14ac:dyDescent="0.35">
      <c r="A355" s="2">
        <v>1262070252</v>
      </c>
      <c r="B355" s="6" t="s">
        <v>751</v>
      </c>
      <c r="C355" s="2" t="s">
        <v>461</v>
      </c>
      <c r="D355" s="4">
        <v>0.47292848599999998</v>
      </c>
      <c r="E355" s="4">
        <v>0.47292848599999998</v>
      </c>
      <c r="F355" s="4">
        <v>0</v>
      </c>
    </row>
    <row r="356" spans="1:6" x14ac:dyDescent="0.35">
      <c r="A356" s="2">
        <v>1262070253</v>
      </c>
      <c r="B356" s="6" t="s">
        <v>752</v>
      </c>
      <c r="C356" s="2" t="s">
        <v>461</v>
      </c>
      <c r="D356" s="4">
        <v>0.32948098300000001</v>
      </c>
      <c r="E356" s="4">
        <v>0.32948098300000001</v>
      </c>
      <c r="F356" s="4">
        <v>0</v>
      </c>
    </row>
    <row r="357" spans="1:6" x14ac:dyDescent="0.35">
      <c r="A357" s="2">
        <v>1262070254</v>
      </c>
      <c r="B357" s="6" t="s">
        <v>753</v>
      </c>
      <c r="C357" s="2" t="s">
        <v>461</v>
      </c>
      <c r="D357" s="4">
        <v>0.30706731100000001</v>
      </c>
      <c r="E357" s="4">
        <v>0.30706731100000001</v>
      </c>
      <c r="F357" s="4">
        <v>0</v>
      </c>
    </row>
    <row r="358" spans="1:6" x14ac:dyDescent="0.35">
      <c r="A358" s="2">
        <v>1262070255</v>
      </c>
      <c r="B358" s="6" t="s">
        <v>754</v>
      </c>
      <c r="C358" s="2" t="s">
        <v>461</v>
      </c>
      <c r="D358" s="4">
        <v>0.42137703999999998</v>
      </c>
      <c r="E358" s="4">
        <v>0.42137703999999998</v>
      </c>
      <c r="F358" s="4">
        <v>0</v>
      </c>
    </row>
    <row r="359" spans="1:6" x14ac:dyDescent="0.35">
      <c r="A359" s="2">
        <v>1262070257</v>
      </c>
      <c r="B359" s="6" t="s">
        <v>755</v>
      </c>
      <c r="C359" s="2" t="s">
        <v>477</v>
      </c>
      <c r="D359" s="4">
        <v>13.77792</v>
      </c>
      <c r="E359" s="4">
        <v>11.52</v>
      </c>
      <c r="F359" s="4">
        <v>2.2579199999999999</v>
      </c>
    </row>
    <row r="360" spans="1:6" x14ac:dyDescent="0.35">
      <c r="A360" s="2">
        <v>1262070258</v>
      </c>
      <c r="B360" s="6" t="s">
        <v>756</v>
      </c>
      <c r="C360" s="2" t="s">
        <v>461</v>
      </c>
      <c r="D360" s="4">
        <v>0.228619458</v>
      </c>
      <c r="E360" s="4">
        <v>0.228619458</v>
      </c>
      <c r="F360" s="4">
        <v>0</v>
      </c>
    </row>
    <row r="361" spans="1:6" x14ac:dyDescent="0.35">
      <c r="A361" s="2">
        <v>1262070259</v>
      </c>
      <c r="B361" s="6" t="s">
        <v>757</v>
      </c>
      <c r="C361" s="2" t="s">
        <v>461</v>
      </c>
      <c r="D361" s="4">
        <v>1.7168873010000001</v>
      </c>
      <c r="E361" s="4">
        <v>1.7168873010000001</v>
      </c>
      <c r="F361" s="4">
        <v>0</v>
      </c>
    </row>
    <row r="362" spans="1:6" x14ac:dyDescent="0.35">
      <c r="A362" s="2">
        <v>1262070261</v>
      </c>
      <c r="B362" s="6" t="s">
        <v>758</v>
      </c>
      <c r="C362" s="2" t="s">
        <v>477</v>
      </c>
      <c r="D362" s="4">
        <v>14.352</v>
      </c>
      <c r="E362" s="4">
        <v>12</v>
      </c>
      <c r="F362" s="4">
        <v>2.3519999999999999</v>
      </c>
    </row>
    <row r="363" spans="1:6" x14ac:dyDescent="0.35">
      <c r="A363" s="2">
        <v>1262070262</v>
      </c>
      <c r="B363" s="6" t="s">
        <v>759</v>
      </c>
      <c r="C363" s="2" t="s">
        <v>461</v>
      </c>
      <c r="D363" s="4">
        <v>6.5985851369999997</v>
      </c>
      <c r="E363" s="4">
        <v>6.5985851369999997</v>
      </c>
      <c r="F363" s="4">
        <v>0</v>
      </c>
    </row>
    <row r="364" spans="1:6" x14ac:dyDescent="0.35">
      <c r="A364" s="2">
        <v>1262070263</v>
      </c>
      <c r="B364" s="6" t="s">
        <v>760</v>
      </c>
      <c r="C364" s="2" t="s">
        <v>477</v>
      </c>
      <c r="D364" s="4">
        <v>33.449728</v>
      </c>
      <c r="E364" s="4">
        <v>27.968</v>
      </c>
      <c r="F364" s="4">
        <v>5.4817280000000004</v>
      </c>
    </row>
    <row r="365" spans="1:6" x14ac:dyDescent="0.35">
      <c r="A365" s="2">
        <v>1262070264</v>
      </c>
      <c r="B365" s="6" t="s">
        <v>761</v>
      </c>
      <c r="C365" s="2" t="s">
        <v>461</v>
      </c>
      <c r="D365" s="4">
        <v>12.24683057</v>
      </c>
      <c r="E365" s="4">
        <v>12.24683057</v>
      </c>
      <c r="F365" s="4">
        <v>0</v>
      </c>
    </row>
    <row r="366" spans="1:6" x14ac:dyDescent="0.35">
      <c r="A366" s="2">
        <v>1262070265</v>
      </c>
      <c r="B366" s="6" t="s">
        <v>762</v>
      </c>
      <c r="C366" s="2" t="s">
        <v>477</v>
      </c>
      <c r="D366" s="4">
        <v>9.9507200000000005</v>
      </c>
      <c r="E366" s="4">
        <v>8.32</v>
      </c>
      <c r="F366" s="4">
        <v>1.6307199999999999</v>
      </c>
    </row>
    <row r="367" spans="1:6" x14ac:dyDescent="0.35">
      <c r="A367" s="2">
        <v>1262070266</v>
      </c>
      <c r="B367" s="6" t="s">
        <v>763</v>
      </c>
      <c r="C367" s="2" t="s">
        <v>477</v>
      </c>
      <c r="D367" s="4">
        <v>18.370560000000001</v>
      </c>
      <c r="E367" s="4">
        <v>15.36</v>
      </c>
      <c r="F367" s="4">
        <v>3.0105599999999999</v>
      </c>
    </row>
    <row r="368" spans="1:6" x14ac:dyDescent="0.35">
      <c r="A368" s="2">
        <v>1262070267</v>
      </c>
      <c r="B368" s="6" t="s">
        <v>764</v>
      </c>
      <c r="C368" s="2" t="s">
        <v>477</v>
      </c>
      <c r="D368" s="4">
        <v>9.5679999999999996</v>
      </c>
      <c r="E368" s="4">
        <v>8</v>
      </c>
      <c r="F368" s="4">
        <v>1.5680000000000001</v>
      </c>
    </row>
    <row r="369" spans="1:6" x14ac:dyDescent="0.35">
      <c r="A369" s="2">
        <v>1262070268</v>
      </c>
      <c r="B369" s="6" t="s">
        <v>765</v>
      </c>
      <c r="C369" s="2" t="s">
        <v>477</v>
      </c>
      <c r="D369" s="4">
        <v>9.5679999999999996</v>
      </c>
      <c r="E369" s="4">
        <v>8</v>
      </c>
      <c r="F369" s="4">
        <v>1.5680000000000001</v>
      </c>
    </row>
    <row r="370" spans="1:6" x14ac:dyDescent="0.35">
      <c r="A370" s="2">
        <v>1262070269</v>
      </c>
      <c r="B370" s="6" t="s">
        <v>766</v>
      </c>
      <c r="C370" s="2" t="s">
        <v>477</v>
      </c>
      <c r="D370" s="4">
        <v>9.5679999999999996</v>
      </c>
      <c r="E370" s="4">
        <v>8</v>
      </c>
      <c r="F370" s="4">
        <v>1.5680000000000001</v>
      </c>
    </row>
    <row r="371" spans="1:6" x14ac:dyDescent="0.35">
      <c r="A371" s="2">
        <v>1262070270</v>
      </c>
      <c r="B371" s="6" t="s">
        <v>767</v>
      </c>
      <c r="C371" s="2" t="s">
        <v>477</v>
      </c>
      <c r="D371" s="4">
        <v>9.5679999999999996</v>
      </c>
      <c r="E371" s="4">
        <v>8</v>
      </c>
      <c r="F371" s="4">
        <v>1.5680000000000001</v>
      </c>
    </row>
    <row r="372" spans="1:6" x14ac:dyDescent="0.35">
      <c r="A372" s="2">
        <v>1262070271</v>
      </c>
      <c r="B372" s="6" t="s">
        <v>768</v>
      </c>
      <c r="C372" s="2" t="s">
        <v>477</v>
      </c>
      <c r="D372" s="4">
        <v>9.5679999999999996</v>
      </c>
      <c r="E372" s="4">
        <v>8</v>
      </c>
      <c r="F372" s="4">
        <v>1.5680000000000001</v>
      </c>
    </row>
    <row r="373" spans="1:6" x14ac:dyDescent="0.35">
      <c r="A373" s="2">
        <v>1262070272</v>
      </c>
      <c r="B373" s="6" t="s">
        <v>769</v>
      </c>
      <c r="C373" s="2" t="s">
        <v>477</v>
      </c>
      <c r="D373" s="4">
        <v>9.5679999999999996</v>
      </c>
      <c r="E373" s="4">
        <v>8</v>
      </c>
      <c r="F373" s="4">
        <v>1.5680000000000001</v>
      </c>
    </row>
    <row r="374" spans="1:6" x14ac:dyDescent="0.35">
      <c r="A374" s="2">
        <v>1262070273</v>
      </c>
      <c r="B374" s="6" t="s">
        <v>770</v>
      </c>
      <c r="C374" s="2" t="s">
        <v>477</v>
      </c>
      <c r="D374" s="4">
        <v>9.5679999999999996</v>
      </c>
      <c r="E374" s="4">
        <v>8</v>
      </c>
      <c r="F374" s="4">
        <v>1.5680000000000001</v>
      </c>
    </row>
    <row r="375" spans="1:6" x14ac:dyDescent="0.35">
      <c r="A375" s="2">
        <v>1262070274</v>
      </c>
      <c r="B375" s="6" t="s">
        <v>771</v>
      </c>
      <c r="C375" s="2" t="s">
        <v>477</v>
      </c>
      <c r="D375" s="4">
        <v>9.5679999999999996</v>
      </c>
      <c r="E375" s="4">
        <v>8</v>
      </c>
      <c r="F375" s="4">
        <v>1.5680000000000001</v>
      </c>
    </row>
    <row r="376" spans="1:6" x14ac:dyDescent="0.35">
      <c r="A376" s="2">
        <v>1262070275</v>
      </c>
      <c r="B376" s="6" t="s">
        <v>772</v>
      </c>
      <c r="C376" s="2" t="s">
        <v>477</v>
      </c>
      <c r="D376" s="4">
        <v>9.5679999999999996</v>
      </c>
      <c r="E376" s="4">
        <v>8</v>
      </c>
      <c r="F376" s="4">
        <v>1.5680000000000001</v>
      </c>
    </row>
    <row r="377" spans="1:6" x14ac:dyDescent="0.35">
      <c r="A377" s="2">
        <v>1262070276</v>
      </c>
      <c r="B377" s="6" t="s">
        <v>773</v>
      </c>
      <c r="C377" s="2" t="s">
        <v>477</v>
      </c>
      <c r="D377" s="4">
        <v>9.5679999999999996</v>
      </c>
      <c r="E377" s="4">
        <v>8</v>
      </c>
      <c r="F377" s="4">
        <v>1.5680000000000001</v>
      </c>
    </row>
    <row r="378" spans="1:6" x14ac:dyDescent="0.35">
      <c r="A378" s="2">
        <v>1262070277</v>
      </c>
      <c r="B378" s="6" t="s">
        <v>774</v>
      </c>
      <c r="C378" s="2" t="s">
        <v>477</v>
      </c>
      <c r="D378" s="4">
        <v>9.5679999999999996</v>
      </c>
      <c r="E378" s="4">
        <v>8</v>
      </c>
      <c r="F378" s="4">
        <v>1.5680000000000001</v>
      </c>
    </row>
    <row r="379" spans="1:6" x14ac:dyDescent="0.35">
      <c r="A379" s="2">
        <v>1262070278</v>
      </c>
      <c r="B379" s="6" t="s">
        <v>775</v>
      </c>
      <c r="C379" s="2" t="s">
        <v>477</v>
      </c>
      <c r="D379" s="4">
        <v>9.5679999999999996</v>
      </c>
      <c r="E379" s="4">
        <v>8</v>
      </c>
      <c r="F379" s="4">
        <v>1.5680000000000001</v>
      </c>
    </row>
    <row r="380" spans="1:6" x14ac:dyDescent="0.35">
      <c r="A380" s="2">
        <v>1262070279</v>
      </c>
      <c r="B380" s="6" t="s">
        <v>776</v>
      </c>
      <c r="C380" s="2" t="s">
        <v>477</v>
      </c>
      <c r="D380" s="4">
        <v>9.9507200000000005</v>
      </c>
      <c r="E380" s="4">
        <v>8.32</v>
      </c>
      <c r="F380" s="4">
        <v>1.6307199999999999</v>
      </c>
    </row>
    <row r="381" spans="1:6" x14ac:dyDescent="0.35">
      <c r="A381" s="2">
        <v>1262070280</v>
      </c>
      <c r="B381" s="6" t="s">
        <v>777</v>
      </c>
      <c r="C381" s="2" t="s">
        <v>477</v>
      </c>
      <c r="D381" s="4">
        <v>10.33344</v>
      </c>
      <c r="E381" s="4">
        <v>8.64</v>
      </c>
      <c r="F381" s="4">
        <v>1.6934400000000001</v>
      </c>
    </row>
    <row r="382" spans="1:6" x14ac:dyDescent="0.35">
      <c r="A382" s="2">
        <v>1262070281</v>
      </c>
      <c r="B382" s="6" t="s">
        <v>778</v>
      </c>
      <c r="C382" s="2" t="s">
        <v>477</v>
      </c>
      <c r="D382" s="4">
        <v>10.33344</v>
      </c>
      <c r="E382" s="4">
        <v>8.64</v>
      </c>
      <c r="F382" s="4">
        <v>1.6934400000000001</v>
      </c>
    </row>
    <row r="383" spans="1:6" x14ac:dyDescent="0.35">
      <c r="A383" s="2">
        <v>1262070282</v>
      </c>
      <c r="B383" s="6" t="s">
        <v>779</v>
      </c>
      <c r="C383" s="2" t="s">
        <v>477</v>
      </c>
      <c r="D383" s="4">
        <v>10.33344</v>
      </c>
      <c r="E383" s="4">
        <v>8.64</v>
      </c>
      <c r="F383" s="4">
        <v>1.6934400000000001</v>
      </c>
    </row>
    <row r="384" spans="1:6" x14ac:dyDescent="0.35">
      <c r="A384" s="2">
        <v>1262070283</v>
      </c>
      <c r="B384" s="6" t="s">
        <v>780</v>
      </c>
      <c r="C384" s="2" t="s">
        <v>477</v>
      </c>
      <c r="D384" s="4">
        <v>10.33344</v>
      </c>
      <c r="E384" s="4">
        <v>8.64</v>
      </c>
      <c r="F384" s="4">
        <v>1.6934400000000001</v>
      </c>
    </row>
    <row r="385" spans="1:6" x14ac:dyDescent="0.35">
      <c r="A385" s="2">
        <v>1262070284</v>
      </c>
      <c r="B385" s="6" t="s">
        <v>781</v>
      </c>
      <c r="C385" s="2" t="s">
        <v>477</v>
      </c>
      <c r="D385" s="4">
        <v>10.33344</v>
      </c>
      <c r="E385" s="4">
        <v>8.64</v>
      </c>
      <c r="F385" s="4">
        <v>1.6934400000000001</v>
      </c>
    </row>
    <row r="386" spans="1:6" x14ac:dyDescent="0.35">
      <c r="A386" s="2">
        <v>1262070285</v>
      </c>
      <c r="B386" s="6" t="s">
        <v>782</v>
      </c>
      <c r="C386" s="2" t="s">
        <v>477</v>
      </c>
      <c r="D386" s="4">
        <v>9.9507200000000005</v>
      </c>
      <c r="E386" s="4">
        <v>8.32</v>
      </c>
      <c r="F386" s="4">
        <v>1.6307199999999999</v>
      </c>
    </row>
    <row r="387" spans="1:6" x14ac:dyDescent="0.35">
      <c r="A387" s="2">
        <v>1262070286</v>
      </c>
      <c r="B387" s="6" t="s">
        <v>783</v>
      </c>
      <c r="C387" s="2" t="s">
        <v>477</v>
      </c>
      <c r="D387" s="4">
        <v>10.33344</v>
      </c>
      <c r="E387" s="4">
        <v>8.64</v>
      </c>
      <c r="F387" s="4">
        <v>1.6934400000000001</v>
      </c>
    </row>
    <row r="388" spans="1:6" x14ac:dyDescent="0.35">
      <c r="A388" s="2">
        <v>1262070287</v>
      </c>
      <c r="B388" s="6" t="s">
        <v>784</v>
      </c>
      <c r="C388" s="2" t="s">
        <v>477</v>
      </c>
      <c r="D388" s="4">
        <v>9.9507200000000005</v>
      </c>
      <c r="E388" s="4">
        <v>8.32</v>
      </c>
      <c r="F388" s="4">
        <v>1.6307199999999999</v>
      </c>
    </row>
    <row r="389" spans="1:6" x14ac:dyDescent="0.35">
      <c r="A389" s="2">
        <v>1262070288</v>
      </c>
      <c r="B389" s="6" t="s">
        <v>785</v>
      </c>
      <c r="C389" s="2" t="s">
        <v>477</v>
      </c>
      <c r="D389" s="4">
        <v>9.5679999999999996</v>
      </c>
      <c r="E389" s="4">
        <v>8</v>
      </c>
      <c r="F389" s="4">
        <v>1.5680000000000001</v>
      </c>
    </row>
    <row r="390" spans="1:6" x14ac:dyDescent="0.35">
      <c r="A390" s="2">
        <v>1262070289</v>
      </c>
      <c r="B390" s="6" t="s">
        <v>786</v>
      </c>
      <c r="C390" s="2" t="s">
        <v>477</v>
      </c>
      <c r="D390" s="4">
        <v>9.9507200000000005</v>
      </c>
      <c r="E390" s="4">
        <v>8.32</v>
      </c>
      <c r="F390" s="4">
        <v>1.6307199999999999</v>
      </c>
    </row>
    <row r="391" spans="1:6" x14ac:dyDescent="0.35">
      <c r="A391" s="2">
        <v>1262070290</v>
      </c>
      <c r="B391" s="6" t="s">
        <v>787</v>
      </c>
      <c r="C391" s="2" t="s">
        <v>477</v>
      </c>
      <c r="D391" s="4">
        <v>9.7593599999999991</v>
      </c>
      <c r="E391" s="4">
        <v>8.16</v>
      </c>
      <c r="F391" s="4">
        <v>1.5993599999999999</v>
      </c>
    </row>
    <row r="392" spans="1:6" x14ac:dyDescent="0.35">
      <c r="A392" s="2">
        <v>1262070291</v>
      </c>
      <c r="B392" s="6" t="s">
        <v>788</v>
      </c>
      <c r="C392" s="2" t="s">
        <v>477</v>
      </c>
      <c r="D392" s="4">
        <v>9.9507200000000005</v>
      </c>
      <c r="E392" s="4">
        <v>8.32</v>
      </c>
      <c r="F392" s="4">
        <v>1.6307199999999999</v>
      </c>
    </row>
    <row r="393" spans="1:6" x14ac:dyDescent="0.35">
      <c r="A393" s="2">
        <v>1262070292</v>
      </c>
      <c r="B393" s="6" t="s">
        <v>789</v>
      </c>
      <c r="C393" s="2" t="s">
        <v>477</v>
      </c>
      <c r="D393" s="4">
        <v>10.90752</v>
      </c>
      <c r="E393" s="4">
        <v>9.1199999999999992</v>
      </c>
      <c r="F393" s="4">
        <v>1.78752</v>
      </c>
    </row>
    <row r="394" spans="1:6" x14ac:dyDescent="0.35">
      <c r="A394" s="2">
        <v>1262070293</v>
      </c>
      <c r="B394" s="6" t="s">
        <v>790</v>
      </c>
      <c r="C394" s="2" t="s">
        <v>477</v>
      </c>
      <c r="D394" s="4">
        <v>10.90752</v>
      </c>
      <c r="E394" s="4">
        <v>9.1199999999999992</v>
      </c>
      <c r="F394" s="4">
        <v>1.78752</v>
      </c>
    </row>
    <row r="395" spans="1:6" x14ac:dyDescent="0.35">
      <c r="A395" s="2">
        <v>1262070294</v>
      </c>
      <c r="B395" s="6" t="s">
        <v>791</v>
      </c>
      <c r="C395" s="2" t="s">
        <v>477</v>
      </c>
      <c r="D395" s="4">
        <v>10.90752</v>
      </c>
      <c r="E395" s="4">
        <v>9.1199999999999992</v>
      </c>
      <c r="F395" s="4">
        <v>1.78752</v>
      </c>
    </row>
    <row r="396" spans="1:6" x14ac:dyDescent="0.35">
      <c r="A396" s="2">
        <v>1262070295</v>
      </c>
      <c r="B396" s="6" t="s">
        <v>792</v>
      </c>
      <c r="C396" s="2" t="s">
        <v>477</v>
      </c>
      <c r="D396" s="4">
        <v>10.90752</v>
      </c>
      <c r="E396" s="4">
        <v>9.1199999999999992</v>
      </c>
      <c r="F396" s="4">
        <v>1.78752</v>
      </c>
    </row>
    <row r="397" spans="1:6" x14ac:dyDescent="0.35">
      <c r="A397" s="2">
        <v>1262070296</v>
      </c>
      <c r="B397" s="6" t="s">
        <v>793</v>
      </c>
      <c r="C397" s="2" t="s">
        <v>477</v>
      </c>
      <c r="D397" s="4">
        <v>10.90752</v>
      </c>
      <c r="E397" s="4">
        <v>9.1199999999999992</v>
      </c>
      <c r="F397" s="4">
        <v>1.78752</v>
      </c>
    </row>
    <row r="398" spans="1:6" x14ac:dyDescent="0.35">
      <c r="A398" s="2">
        <v>1262070297</v>
      </c>
      <c r="B398" s="6" t="s">
        <v>794</v>
      </c>
      <c r="C398" s="2" t="s">
        <v>477</v>
      </c>
      <c r="D398" s="4">
        <v>10.90752</v>
      </c>
      <c r="E398" s="4">
        <v>9.1199999999999992</v>
      </c>
      <c r="F398" s="4">
        <v>1.78752</v>
      </c>
    </row>
    <row r="399" spans="1:6" x14ac:dyDescent="0.35">
      <c r="A399" s="2">
        <v>1262070298</v>
      </c>
      <c r="B399" s="6" t="s">
        <v>795</v>
      </c>
      <c r="C399" s="2" t="s">
        <v>477</v>
      </c>
      <c r="D399" s="4">
        <v>10.90752</v>
      </c>
      <c r="E399" s="4">
        <v>9.1199999999999992</v>
      </c>
      <c r="F399" s="4">
        <v>1.78752</v>
      </c>
    </row>
    <row r="400" spans="1:6" x14ac:dyDescent="0.35">
      <c r="A400" s="2">
        <v>1262070299</v>
      </c>
      <c r="B400" s="6" t="s">
        <v>796</v>
      </c>
      <c r="C400" s="2" t="s">
        <v>477</v>
      </c>
      <c r="D400" s="4">
        <v>10.90752</v>
      </c>
      <c r="E400" s="4">
        <v>9.1199999999999992</v>
      </c>
      <c r="F400" s="4">
        <v>1.78752</v>
      </c>
    </row>
    <row r="401" spans="1:6" x14ac:dyDescent="0.35">
      <c r="A401" s="2">
        <v>1262070300</v>
      </c>
      <c r="B401" s="6" t="s">
        <v>797</v>
      </c>
      <c r="C401" s="2" t="s">
        <v>477</v>
      </c>
      <c r="D401" s="4">
        <v>10.90752</v>
      </c>
      <c r="E401" s="4">
        <v>9.1199999999999992</v>
      </c>
      <c r="F401" s="4">
        <v>1.78752</v>
      </c>
    </row>
    <row r="402" spans="1:6" x14ac:dyDescent="0.35">
      <c r="A402" s="2">
        <v>1262070301</v>
      </c>
      <c r="B402" s="6" t="s">
        <v>798</v>
      </c>
      <c r="C402" s="2" t="s">
        <v>477</v>
      </c>
      <c r="D402" s="4">
        <v>10.90752</v>
      </c>
      <c r="E402" s="4">
        <v>9.1199999999999992</v>
      </c>
      <c r="F402" s="4">
        <v>1.78752</v>
      </c>
    </row>
    <row r="403" spans="1:6" x14ac:dyDescent="0.35">
      <c r="A403" s="2">
        <v>1262070302</v>
      </c>
      <c r="B403" s="6" t="s">
        <v>799</v>
      </c>
      <c r="C403" s="2" t="s">
        <v>477</v>
      </c>
      <c r="D403" s="4">
        <v>10.90752</v>
      </c>
      <c r="E403" s="4">
        <v>9.1199999999999992</v>
      </c>
      <c r="F403" s="4">
        <v>1.78752</v>
      </c>
    </row>
    <row r="404" spans="1:6" x14ac:dyDescent="0.35">
      <c r="A404" s="2">
        <v>1262070303</v>
      </c>
      <c r="B404" s="6" t="s">
        <v>800</v>
      </c>
      <c r="C404" s="2" t="s">
        <v>477</v>
      </c>
      <c r="D404" s="4">
        <v>10.90752</v>
      </c>
      <c r="E404" s="4">
        <v>9.1199999999999992</v>
      </c>
      <c r="F404" s="4">
        <v>1.78752</v>
      </c>
    </row>
    <row r="405" spans="1:6" x14ac:dyDescent="0.35">
      <c r="A405" s="2">
        <v>1262070304</v>
      </c>
      <c r="B405" s="6" t="s">
        <v>801</v>
      </c>
      <c r="C405" s="2" t="s">
        <v>477</v>
      </c>
      <c r="D405" s="4">
        <v>10.90752</v>
      </c>
      <c r="E405" s="4">
        <v>9.1199999999999992</v>
      </c>
      <c r="F405" s="4">
        <v>1.78752</v>
      </c>
    </row>
    <row r="406" spans="1:6" x14ac:dyDescent="0.35">
      <c r="A406" s="2">
        <v>1262070305</v>
      </c>
      <c r="B406" s="6" t="s">
        <v>802</v>
      </c>
      <c r="C406" s="2" t="s">
        <v>477</v>
      </c>
      <c r="D406" s="4">
        <v>13.77792</v>
      </c>
      <c r="E406" s="4">
        <v>11.52</v>
      </c>
      <c r="F406" s="4">
        <v>2.2579199999999999</v>
      </c>
    </row>
    <row r="407" spans="1:6" x14ac:dyDescent="0.35">
      <c r="A407" s="2">
        <v>1262070306</v>
      </c>
      <c r="B407" s="6" t="s">
        <v>803</v>
      </c>
      <c r="C407" s="2" t="s">
        <v>477</v>
      </c>
      <c r="D407" s="4">
        <v>13.77792</v>
      </c>
      <c r="E407" s="4">
        <v>11.52</v>
      </c>
      <c r="F407" s="4">
        <v>2.2579199999999999</v>
      </c>
    </row>
    <row r="408" spans="1:6" x14ac:dyDescent="0.35">
      <c r="A408" s="2">
        <v>1262070307</v>
      </c>
      <c r="B408" s="6" t="s">
        <v>804</v>
      </c>
      <c r="C408" s="2" t="s">
        <v>477</v>
      </c>
      <c r="D408" s="4">
        <v>13.77792</v>
      </c>
      <c r="E408" s="4">
        <v>11.52</v>
      </c>
      <c r="F408" s="4">
        <v>2.2579199999999999</v>
      </c>
    </row>
    <row r="409" spans="1:6" x14ac:dyDescent="0.35">
      <c r="A409" s="2">
        <v>1262070308</v>
      </c>
      <c r="B409" s="6" t="s">
        <v>805</v>
      </c>
      <c r="C409" s="2" t="s">
        <v>477</v>
      </c>
      <c r="D409" s="4">
        <v>13.77792</v>
      </c>
      <c r="E409" s="4">
        <v>11.52</v>
      </c>
      <c r="F409" s="4">
        <v>2.2579199999999999</v>
      </c>
    </row>
    <row r="410" spans="1:6" x14ac:dyDescent="0.35">
      <c r="A410" s="2">
        <v>1262070309</v>
      </c>
      <c r="B410" s="6" t="s">
        <v>806</v>
      </c>
      <c r="C410" s="2" t="s">
        <v>477</v>
      </c>
      <c r="D410" s="4">
        <v>13.77792</v>
      </c>
      <c r="E410" s="4">
        <v>11.52</v>
      </c>
      <c r="F410" s="4">
        <v>2.2579199999999999</v>
      </c>
    </row>
    <row r="411" spans="1:6" x14ac:dyDescent="0.35">
      <c r="A411" s="2">
        <v>1262070310</v>
      </c>
      <c r="B411" s="6" t="s">
        <v>807</v>
      </c>
      <c r="C411" s="2" t="s">
        <v>477</v>
      </c>
      <c r="D411" s="4">
        <v>13.77792</v>
      </c>
      <c r="E411" s="4">
        <v>11.52</v>
      </c>
      <c r="F411" s="4">
        <v>2.2579199999999999</v>
      </c>
    </row>
    <row r="412" spans="1:6" x14ac:dyDescent="0.35">
      <c r="A412" s="2">
        <v>1262070311</v>
      </c>
      <c r="B412" s="6" t="s">
        <v>808</v>
      </c>
      <c r="C412" s="2" t="s">
        <v>477</v>
      </c>
      <c r="D412" s="4">
        <v>13.77792</v>
      </c>
      <c r="E412" s="4">
        <v>11.52</v>
      </c>
      <c r="F412" s="4">
        <v>2.2579199999999999</v>
      </c>
    </row>
    <row r="413" spans="1:6" x14ac:dyDescent="0.35">
      <c r="A413" s="2">
        <v>1262070312</v>
      </c>
      <c r="B413" s="6" t="s">
        <v>809</v>
      </c>
      <c r="C413" s="2" t="s">
        <v>477</v>
      </c>
      <c r="D413" s="4">
        <v>13.77792</v>
      </c>
      <c r="E413" s="4">
        <v>11.52</v>
      </c>
      <c r="F413" s="4">
        <v>2.2579199999999999</v>
      </c>
    </row>
    <row r="414" spans="1:6" x14ac:dyDescent="0.35">
      <c r="A414" s="2">
        <v>1262070313</v>
      </c>
      <c r="B414" s="6" t="s">
        <v>810</v>
      </c>
      <c r="C414" s="2" t="s">
        <v>477</v>
      </c>
      <c r="D414" s="4">
        <v>13.77792</v>
      </c>
      <c r="E414" s="4">
        <v>11.52</v>
      </c>
      <c r="F414" s="4">
        <v>2.2579199999999999</v>
      </c>
    </row>
    <row r="415" spans="1:6" x14ac:dyDescent="0.35">
      <c r="A415" s="2">
        <v>1262070314</v>
      </c>
      <c r="B415" s="6" t="s">
        <v>811</v>
      </c>
      <c r="C415" s="2" t="s">
        <v>477</v>
      </c>
      <c r="D415" s="4">
        <v>13.77792</v>
      </c>
      <c r="E415" s="4">
        <v>11.52</v>
      </c>
      <c r="F415" s="4">
        <v>2.2579199999999999</v>
      </c>
    </row>
    <row r="416" spans="1:6" x14ac:dyDescent="0.35">
      <c r="A416" s="2">
        <v>1262070315</v>
      </c>
      <c r="B416" s="6" t="s">
        <v>812</v>
      </c>
      <c r="C416" s="2" t="s">
        <v>477</v>
      </c>
      <c r="D416" s="4">
        <v>13.77792</v>
      </c>
      <c r="E416" s="4">
        <v>11.52</v>
      </c>
      <c r="F416" s="4">
        <v>2.2579199999999999</v>
      </c>
    </row>
    <row r="417" spans="1:6" x14ac:dyDescent="0.35">
      <c r="A417" s="2">
        <v>1262070316</v>
      </c>
      <c r="B417" s="6" t="s">
        <v>813</v>
      </c>
      <c r="C417" s="2" t="s">
        <v>477</v>
      </c>
      <c r="D417" s="4">
        <v>18.370560000000001</v>
      </c>
      <c r="E417" s="4">
        <v>15.36</v>
      </c>
      <c r="F417" s="4">
        <v>3.0105599999999999</v>
      </c>
    </row>
    <row r="418" spans="1:6" x14ac:dyDescent="0.35">
      <c r="A418" s="2">
        <v>1262070317</v>
      </c>
      <c r="B418" s="6" t="s">
        <v>814</v>
      </c>
      <c r="C418" s="2" t="s">
        <v>477</v>
      </c>
      <c r="D418" s="4">
        <v>18.370560000000001</v>
      </c>
      <c r="E418" s="4">
        <v>15.36</v>
      </c>
      <c r="F418" s="4">
        <v>3.0105599999999999</v>
      </c>
    </row>
    <row r="419" spans="1:6" x14ac:dyDescent="0.35">
      <c r="A419" s="2">
        <v>1262070318</v>
      </c>
      <c r="B419" s="6" t="s">
        <v>815</v>
      </c>
      <c r="C419" s="2" t="s">
        <v>477</v>
      </c>
      <c r="D419" s="4">
        <v>18.370560000000001</v>
      </c>
      <c r="E419" s="4">
        <v>15.36</v>
      </c>
      <c r="F419" s="4">
        <v>3.0105599999999999</v>
      </c>
    </row>
    <row r="420" spans="1:6" x14ac:dyDescent="0.35">
      <c r="A420" s="2">
        <v>1262070319</v>
      </c>
      <c r="B420" s="6" t="s">
        <v>816</v>
      </c>
      <c r="C420" s="2" t="s">
        <v>477</v>
      </c>
      <c r="D420" s="4">
        <v>18.370560000000001</v>
      </c>
      <c r="E420" s="4">
        <v>15.36</v>
      </c>
      <c r="F420" s="4">
        <v>3.0105599999999999</v>
      </c>
    </row>
    <row r="421" spans="1:6" x14ac:dyDescent="0.35">
      <c r="A421" s="2">
        <v>1262070320</v>
      </c>
      <c r="B421" s="6" t="s">
        <v>817</v>
      </c>
      <c r="C421" s="2" t="s">
        <v>477</v>
      </c>
      <c r="D421" s="4">
        <v>18.370560000000001</v>
      </c>
      <c r="E421" s="4">
        <v>15.36</v>
      </c>
      <c r="F421" s="4">
        <v>3.0105599999999999</v>
      </c>
    </row>
    <row r="422" spans="1:6" x14ac:dyDescent="0.35">
      <c r="A422" s="2">
        <v>1262070321</v>
      </c>
      <c r="B422" s="6" t="s">
        <v>818</v>
      </c>
      <c r="C422" s="2" t="s">
        <v>477</v>
      </c>
      <c r="D422" s="4">
        <v>18.370560000000001</v>
      </c>
      <c r="E422" s="4">
        <v>15.36</v>
      </c>
      <c r="F422" s="4">
        <v>3.0105599999999999</v>
      </c>
    </row>
    <row r="423" spans="1:6" x14ac:dyDescent="0.35">
      <c r="A423" s="2">
        <v>1262070322</v>
      </c>
      <c r="B423" s="6" t="s">
        <v>819</v>
      </c>
      <c r="C423" s="2" t="s">
        <v>477</v>
      </c>
      <c r="D423" s="4">
        <v>18.370560000000001</v>
      </c>
      <c r="E423" s="4">
        <v>15.36</v>
      </c>
      <c r="F423" s="4">
        <v>3.0105599999999999</v>
      </c>
    </row>
    <row r="424" spans="1:6" x14ac:dyDescent="0.35">
      <c r="A424" s="2">
        <v>1262070323</v>
      </c>
      <c r="B424" s="6" t="s">
        <v>820</v>
      </c>
      <c r="C424" s="2" t="s">
        <v>477</v>
      </c>
      <c r="D424" s="4">
        <v>18.370560000000001</v>
      </c>
      <c r="E424" s="4">
        <v>15.36</v>
      </c>
      <c r="F424" s="4">
        <v>3.0105599999999999</v>
      </c>
    </row>
    <row r="425" spans="1:6" x14ac:dyDescent="0.35">
      <c r="A425" s="2">
        <v>1262070324</v>
      </c>
      <c r="B425" s="6" t="s">
        <v>821</v>
      </c>
      <c r="C425" s="2" t="s">
        <v>477</v>
      </c>
      <c r="D425" s="4">
        <v>18.370560000000001</v>
      </c>
      <c r="E425" s="4">
        <v>15.36</v>
      </c>
      <c r="F425" s="4">
        <v>3.0105599999999999</v>
      </c>
    </row>
    <row r="426" spans="1:6" x14ac:dyDescent="0.35">
      <c r="A426" s="2">
        <v>1262070325</v>
      </c>
      <c r="B426" s="6" t="s">
        <v>822</v>
      </c>
      <c r="C426" s="2" t="s">
        <v>477</v>
      </c>
      <c r="D426" s="4">
        <v>18.370560000000001</v>
      </c>
      <c r="E426" s="4">
        <v>15.36</v>
      </c>
      <c r="F426" s="4">
        <v>3.0105599999999999</v>
      </c>
    </row>
    <row r="427" spans="1:6" x14ac:dyDescent="0.35">
      <c r="A427" s="2">
        <v>1262070326</v>
      </c>
      <c r="B427" s="6" t="s">
        <v>823</v>
      </c>
      <c r="C427" s="2" t="s">
        <v>477</v>
      </c>
      <c r="D427" s="4">
        <v>18.370560000000001</v>
      </c>
      <c r="E427" s="4">
        <v>15.36</v>
      </c>
      <c r="F427" s="4">
        <v>3.0105599999999999</v>
      </c>
    </row>
    <row r="428" spans="1:6" x14ac:dyDescent="0.35">
      <c r="A428" s="2">
        <v>1262070327</v>
      </c>
      <c r="B428" s="6" t="s">
        <v>824</v>
      </c>
      <c r="C428" s="2" t="s">
        <v>477</v>
      </c>
      <c r="D428" s="4">
        <v>24.111360000000001</v>
      </c>
      <c r="E428" s="4">
        <v>20.16</v>
      </c>
      <c r="F428" s="4">
        <v>3.9513600000000002</v>
      </c>
    </row>
    <row r="429" spans="1:6" x14ac:dyDescent="0.35">
      <c r="A429" s="2">
        <v>1262070328</v>
      </c>
      <c r="B429" s="6" t="s">
        <v>825</v>
      </c>
      <c r="C429" s="2" t="s">
        <v>477</v>
      </c>
      <c r="D429" s="4">
        <v>24.111360000000001</v>
      </c>
      <c r="E429" s="4">
        <v>20.16</v>
      </c>
      <c r="F429" s="4">
        <v>3.9513600000000002</v>
      </c>
    </row>
    <row r="430" spans="1:6" x14ac:dyDescent="0.35">
      <c r="A430" s="2">
        <v>1262070329</v>
      </c>
      <c r="B430" s="6" t="s">
        <v>826</v>
      </c>
      <c r="C430" s="2" t="s">
        <v>477</v>
      </c>
      <c r="D430" s="4">
        <v>24.111360000000001</v>
      </c>
      <c r="E430" s="4">
        <v>20.16</v>
      </c>
      <c r="F430" s="4">
        <v>3.9513600000000002</v>
      </c>
    </row>
    <row r="431" spans="1:6" x14ac:dyDescent="0.35">
      <c r="A431" s="2">
        <v>1262070330</v>
      </c>
      <c r="B431" s="6" t="s">
        <v>827</v>
      </c>
      <c r="C431" s="2" t="s">
        <v>477</v>
      </c>
      <c r="D431" s="4">
        <v>24.111360000000001</v>
      </c>
      <c r="E431" s="4">
        <v>20.16</v>
      </c>
      <c r="F431" s="4">
        <v>3.9513600000000002</v>
      </c>
    </row>
    <row r="432" spans="1:6" x14ac:dyDescent="0.35">
      <c r="A432" s="2">
        <v>1262070331</v>
      </c>
      <c r="B432" s="6" t="s">
        <v>828</v>
      </c>
      <c r="C432" s="2" t="s">
        <v>477</v>
      </c>
      <c r="D432" s="4">
        <v>34.444800000000001</v>
      </c>
      <c r="E432" s="4">
        <v>28.8</v>
      </c>
      <c r="F432" s="4">
        <v>5.6448</v>
      </c>
    </row>
    <row r="433" spans="1:6" x14ac:dyDescent="0.35">
      <c r="A433" s="2">
        <v>1262070332</v>
      </c>
      <c r="B433" s="6" t="s">
        <v>829</v>
      </c>
      <c r="C433" s="2" t="s">
        <v>477</v>
      </c>
      <c r="D433" s="4">
        <v>34.444800000000001</v>
      </c>
      <c r="E433" s="4">
        <v>28.8</v>
      </c>
      <c r="F433" s="4">
        <v>5.6448</v>
      </c>
    </row>
    <row r="434" spans="1:6" x14ac:dyDescent="0.35">
      <c r="A434" s="2">
        <v>1262070333</v>
      </c>
      <c r="B434" s="6" t="s">
        <v>830</v>
      </c>
      <c r="C434" s="2" t="s">
        <v>477</v>
      </c>
      <c r="D434" s="4">
        <v>34.444800000000001</v>
      </c>
      <c r="E434" s="4">
        <v>28.8</v>
      </c>
      <c r="F434" s="4">
        <v>5.6448</v>
      </c>
    </row>
    <row r="435" spans="1:6" x14ac:dyDescent="0.35">
      <c r="A435" s="2">
        <v>1262070334</v>
      </c>
      <c r="B435" s="6" t="s">
        <v>831</v>
      </c>
      <c r="C435" s="2" t="s">
        <v>477</v>
      </c>
      <c r="D435" s="4">
        <v>34.444800000000001</v>
      </c>
      <c r="E435" s="4">
        <v>28.8</v>
      </c>
      <c r="F435" s="4">
        <v>5.6448</v>
      </c>
    </row>
    <row r="436" spans="1:6" x14ac:dyDescent="0.35">
      <c r="A436" s="2">
        <v>1262070335</v>
      </c>
      <c r="B436" s="6" t="s">
        <v>832</v>
      </c>
      <c r="C436" s="2" t="s">
        <v>477</v>
      </c>
      <c r="D436" s="4">
        <v>34.444800000000001</v>
      </c>
      <c r="E436" s="4">
        <v>28.8</v>
      </c>
      <c r="F436" s="4">
        <v>5.6448</v>
      </c>
    </row>
    <row r="437" spans="1:6" x14ac:dyDescent="0.35">
      <c r="A437" s="2">
        <v>1262070336</v>
      </c>
      <c r="B437" s="6" t="s">
        <v>833</v>
      </c>
      <c r="C437" s="2" t="s">
        <v>477</v>
      </c>
      <c r="D437" s="4">
        <v>10.90752</v>
      </c>
      <c r="E437" s="4">
        <v>9.1199999999999992</v>
      </c>
      <c r="F437" s="4">
        <v>1.78752</v>
      </c>
    </row>
    <row r="438" spans="1:6" x14ac:dyDescent="0.35">
      <c r="A438" s="2">
        <v>1262070337</v>
      </c>
      <c r="B438" s="6" t="s">
        <v>834</v>
      </c>
      <c r="C438" s="2" t="s">
        <v>477</v>
      </c>
      <c r="D438" s="4">
        <v>13.77792</v>
      </c>
      <c r="E438" s="4">
        <v>11.52</v>
      </c>
      <c r="F438" s="4">
        <v>2.2579199999999999</v>
      </c>
    </row>
    <row r="439" spans="1:6" x14ac:dyDescent="0.35">
      <c r="A439" s="2">
        <v>1262070338</v>
      </c>
      <c r="B439" s="6" t="s">
        <v>835</v>
      </c>
      <c r="C439" s="2" t="s">
        <v>477</v>
      </c>
      <c r="D439" s="4">
        <v>10.33344</v>
      </c>
      <c r="E439" s="4">
        <v>8.64</v>
      </c>
      <c r="F439" s="4">
        <v>1.6934400000000001</v>
      </c>
    </row>
    <row r="440" spans="1:6" x14ac:dyDescent="0.35">
      <c r="A440" s="2">
        <v>1262070339</v>
      </c>
      <c r="B440" s="6" t="s">
        <v>836</v>
      </c>
      <c r="C440" s="2" t="s">
        <v>477</v>
      </c>
      <c r="D440" s="4">
        <v>18.370560000000001</v>
      </c>
      <c r="E440" s="4">
        <v>15.36</v>
      </c>
      <c r="F440" s="4">
        <v>3.0105599999999999</v>
      </c>
    </row>
    <row r="441" spans="1:6" x14ac:dyDescent="0.35">
      <c r="A441" s="2">
        <v>1262070340</v>
      </c>
      <c r="B441" s="6" t="s">
        <v>837</v>
      </c>
      <c r="C441" s="2" t="s">
        <v>477</v>
      </c>
      <c r="D441" s="4">
        <v>9.5679999999999996</v>
      </c>
      <c r="E441" s="4">
        <v>8</v>
      </c>
      <c r="F441" s="4">
        <v>1.5680000000000001</v>
      </c>
    </row>
    <row r="442" spans="1:6" x14ac:dyDescent="0.35">
      <c r="A442" s="2">
        <v>1262070341</v>
      </c>
      <c r="B442" s="6" t="s">
        <v>838</v>
      </c>
      <c r="C442" s="2" t="s">
        <v>477</v>
      </c>
      <c r="D442" s="4">
        <v>10.33344</v>
      </c>
      <c r="E442" s="4">
        <v>8.64</v>
      </c>
      <c r="F442" s="4">
        <v>1.6934400000000001</v>
      </c>
    </row>
    <row r="443" spans="1:6" x14ac:dyDescent="0.35">
      <c r="A443" s="2">
        <v>1262070342</v>
      </c>
      <c r="B443" s="6" t="s">
        <v>839</v>
      </c>
      <c r="C443" s="2" t="s">
        <v>477</v>
      </c>
      <c r="D443" s="4">
        <v>13.77792</v>
      </c>
      <c r="E443" s="4">
        <v>11.52</v>
      </c>
      <c r="F443" s="4">
        <v>2.2579199999999999</v>
      </c>
    </row>
    <row r="444" spans="1:6" x14ac:dyDescent="0.35">
      <c r="A444" s="2">
        <v>1262070343</v>
      </c>
      <c r="B444" s="6" t="s">
        <v>840</v>
      </c>
      <c r="C444" s="2" t="s">
        <v>477</v>
      </c>
      <c r="D444" s="4">
        <v>9.9507200000000005</v>
      </c>
      <c r="E444" s="4">
        <v>8.32</v>
      </c>
      <c r="F444" s="4">
        <v>1.6307199999999999</v>
      </c>
    </row>
    <row r="445" spans="1:6" x14ac:dyDescent="0.35">
      <c r="A445" s="2">
        <v>1262070344</v>
      </c>
      <c r="B445" s="6" t="s">
        <v>841</v>
      </c>
      <c r="C445" s="2" t="s">
        <v>477</v>
      </c>
      <c r="D445" s="4">
        <v>10.90752</v>
      </c>
      <c r="E445" s="4">
        <v>9.1199999999999992</v>
      </c>
      <c r="F445" s="4">
        <v>1.78752</v>
      </c>
    </row>
    <row r="446" spans="1:6" x14ac:dyDescent="0.35">
      <c r="A446" s="2">
        <v>1262070345</v>
      </c>
      <c r="B446" s="6" t="s">
        <v>842</v>
      </c>
      <c r="C446" s="2" t="s">
        <v>477</v>
      </c>
      <c r="D446" s="4">
        <v>10.33344</v>
      </c>
      <c r="E446" s="4">
        <v>8.64</v>
      </c>
      <c r="F446" s="4">
        <v>1.6934400000000001</v>
      </c>
    </row>
    <row r="447" spans="1:6" x14ac:dyDescent="0.35">
      <c r="A447" s="2">
        <v>1262070346</v>
      </c>
      <c r="B447" s="6" t="s">
        <v>843</v>
      </c>
      <c r="C447" s="2" t="s">
        <v>477</v>
      </c>
      <c r="D447" s="4">
        <v>10.90752</v>
      </c>
      <c r="E447" s="4">
        <v>9.1199999999999992</v>
      </c>
      <c r="F447" s="4">
        <v>1.78752</v>
      </c>
    </row>
    <row r="448" spans="1:6" x14ac:dyDescent="0.35">
      <c r="A448" s="2">
        <v>1262070347</v>
      </c>
      <c r="B448" s="6" t="s">
        <v>844</v>
      </c>
      <c r="C448" s="2" t="s">
        <v>477</v>
      </c>
      <c r="D448" s="4">
        <v>13.77792</v>
      </c>
      <c r="E448" s="4">
        <v>11.52</v>
      </c>
      <c r="F448" s="4">
        <v>2.2579199999999999</v>
      </c>
    </row>
    <row r="449" spans="1:6" x14ac:dyDescent="0.35">
      <c r="A449" s="2">
        <v>1262070348</v>
      </c>
      <c r="B449" s="6" t="s">
        <v>845</v>
      </c>
      <c r="C449" s="2" t="s">
        <v>477</v>
      </c>
      <c r="D449" s="4">
        <v>13.77792</v>
      </c>
      <c r="E449" s="4">
        <v>11.52</v>
      </c>
      <c r="F449" s="4">
        <v>2.2579199999999999</v>
      </c>
    </row>
    <row r="450" spans="1:6" x14ac:dyDescent="0.35">
      <c r="A450" s="2">
        <v>1262080001</v>
      </c>
      <c r="B450" s="6" t="s">
        <v>846</v>
      </c>
      <c r="C450" s="2" t="s">
        <v>15</v>
      </c>
      <c r="D450" s="4">
        <v>259.08999999999997</v>
      </c>
      <c r="E450" s="4">
        <v>259.08999999999997</v>
      </c>
      <c r="F450" s="4">
        <v>0</v>
      </c>
    </row>
    <row r="451" spans="1:6" x14ac:dyDescent="0.35">
      <c r="A451" s="2">
        <v>1262090001</v>
      </c>
      <c r="B451" s="6" t="s">
        <v>847</v>
      </c>
      <c r="C451" s="2" t="s">
        <v>15</v>
      </c>
      <c r="D451" s="4">
        <v>2705.7785250000002</v>
      </c>
      <c r="E451" s="4">
        <v>2705.7785250000002</v>
      </c>
      <c r="F451" s="4">
        <v>0</v>
      </c>
    </row>
    <row r="452" spans="1:6" x14ac:dyDescent="0.35">
      <c r="A452" s="2">
        <v>1262130001</v>
      </c>
      <c r="B452" s="6" t="s">
        <v>848</v>
      </c>
      <c r="C452" s="2" t="s">
        <v>461</v>
      </c>
      <c r="D452" s="4">
        <v>3.5368774950000001</v>
      </c>
      <c r="E452" s="4">
        <v>3.5368774950000001</v>
      </c>
      <c r="F452" s="4">
        <v>0</v>
      </c>
    </row>
    <row r="453" spans="1:6" x14ac:dyDescent="0.35">
      <c r="A453" s="2">
        <v>1262130003</v>
      </c>
      <c r="B453" s="6" t="s">
        <v>849</v>
      </c>
      <c r="C453" s="2" t="s">
        <v>461</v>
      </c>
      <c r="D453" s="4">
        <v>1.2843034250000001</v>
      </c>
      <c r="E453" s="4">
        <v>1.2843034250000001</v>
      </c>
      <c r="F453" s="4">
        <v>0</v>
      </c>
    </row>
    <row r="454" spans="1:6" x14ac:dyDescent="0.35">
      <c r="A454" s="2">
        <v>1262130004</v>
      </c>
      <c r="B454" s="6" t="s">
        <v>850</v>
      </c>
      <c r="C454" s="2" t="s">
        <v>461</v>
      </c>
      <c r="D454" s="4">
        <v>14.0288</v>
      </c>
      <c r="E454" s="4">
        <v>10.24</v>
      </c>
      <c r="F454" s="4">
        <v>3.7888000000000002</v>
      </c>
    </row>
    <row r="455" spans="1:6" x14ac:dyDescent="0.35">
      <c r="A455" s="2">
        <v>1262130008</v>
      </c>
      <c r="B455" s="6" t="s">
        <v>851</v>
      </c>
      <c r="C455" s="2" t="s">
        <v>477</v>
      </c>
      <c r="D455" s="4">
        <v>4.3123905579999997</v>
      </c>
      <c r="E455" s="4">
        <v>4.3123905579999997</v>
      </c>
      <c r="F455" s="4">
        <v>0</v>
      </c>
    </row>
    <row r="456" spans="1:6" x14ac:dyDescent="0.35">
      <c r="A456" s="2">
        <v>1262130009</v>
      </c>
      <c r="B456" s="6" t="s">
        <v>852</v>
      </c>
      <c r="C456" s="2" t="s">
        <v>461</v>
      </c>
      <c r="D456" s="4">
        <v>20</v>
      </c>
      <c r="E456" s="4">
        <v>20</v>
      </c>
      <c r="F456" s="4">
        <v>0</v>
      </c>
    </row>
    <row r="457" spans="1:6" x14ac:dyDescent="0.35">
      <c r="A457" s="2">
        <v>1262130010</v>
      </c>
      <c r="B457" s="6" t="s">
        <v>853</v>
      </c>
      <c r="C457" s="2" t="s">
        <v>461</v>
      </c>
      <c r="D457" s="4">
        <v>7.5</v>
      </c>
      <c r="E457" s="4">
        <v>7.5</v>
      </c>
      <c r="F457" s="4">
        <v>0</v>
      </c>
    </row>
    <row r="458" spans="1:6" x14ac:dyDescent="0.35">
      <c r="A458" s="2">
        <v>1262130011</v>
      </c>
      <c r="B458" s="6" t="s">
        <v>854</v>
      </c>
      <c r="C458" s="2" t="s">
        <v>461</v>
      </c>
      <c r="D458" s="4">
        <v>1</v>
      </c>
      <c r="E458" s="4">
        <v>1</v>
      </c>
      <c r="F458" s="4">
        <v>0</v>
      </c>
    </row>
    <row r="459" spans="1:6" x14ac:dyDescent="0.35">
      <c r="A459" s="2">
        <v>1262130012</v>
      </c>
      <c r="B459" s="6" t="s">
        <v>855</v>
      </c>
      <c r="C459" s="2" t="s">
        <v>461</v>
      </c>
      <c r="D459" s="4">
        <v>1</v>
      </c>
      <c r="E459" s="4">
        <v>1</v>
      </c>
      <c r="F459" s="4">
        <v>0</v>
      </c>
    </row>
    <row r="460" spans="1:6" x14ac:dyDescent="0.35">
      <c r="A460" s="2">
        <v>1262130013</v>
      </c>
      <c r="B460" s="6" t="s">
        <v>856</v>
      </c>
      <c r="C460" s="2" t="s">
        <v>461</v>
      </c>
      <c r="D460" s="4">
        <v>20.309999999999999</v>
      </c>
      <c r="E460" s="4">
        <v>20.309999999999999</v>
      </c>
      <c r="F460" s="4">
        <v>0</v>
      </c>
    </row>
    <row r="461" spans="1:6" x14ac:dyDescent="0.35">
      <c r="A461" s="2">
        <v>1262130014</v>
      </c>
      <c r="B461" s="6" t="s">
        <v>857</v>
      </c>
      <c r="C461" s="2" t="s">
        <v>461</v>
      </c>
      <c r="D461" s="4">
        <v>21.55</v>
      </c>
      <c r="E461" s="4">
        <v>21.55</v>
      </c>
      <c r="F461" s="4">
        <v>0</v>
      </c>
    </row>
    <row r="462" spans="1:6" x14ac:dyDescent="0.35">
      <c r="A462" s="2">
        <v>1262130015</v>
      </c>
      <c r="B462" s="6" t="s">
        <v>858</v>
      </c>
      <c r="C462" s="2" t="s">
        <v>461</v>
      </c>
      <c r="D462" s="4">
        <v>30.59</v>
      </c>
      <c r="E462" s="4">
        <v>30.59</v>
      </c>
      <c r="F462" s="4">
        <v>0</v>
      </c>
    </row>
    <row r="463" spans="1:6" x14ac:dyDescent="0.35">
      <c r="A463" s="2">
        <v>1262130016</v>
      </c>
      <c r="B463" s="6" t="s">
        <v>859</v>
      </c>
      <c r="C463" s="2" t="s">
        <v>461</v>
      </c>
      <c r="D463" s="4">
        <v>59</v>
      </c>
      <c r="E463" s="4">
        <v>59</v>
      </c>
      <c r="F463" s="4">
        <v>0</v>
      </c>
    </row>
    <row r="464" spans="1:6" x14ac:dyDescent="0.35">
      <c r="A464" s="2">
        <v>1262130021</v>
      </c>
      <c r="B464" s="6" t="s">
        <v>860</v>
      </c>
      <c r="C464" s="2" t="s">
        <v>461</v>
      </c>
      <c r="D464" s="4">
        <v>0.95</v>
      </c>
      <c r="E464" s="4">
        <v>0.95</v>
      </c>
      <c r="F464" s="4">
        <v>0</v>
      </c>
    </row>
    <row r="465" spans="1:6" x14ac:dyDescent="0.35">
      <c r="A465" s="2">
        <v>1262130022</v>
      </c>
      <c r="B465" s="6" t="s">
        <v>861</v>
      </c>
      <c r="C465" s="2" t="s">
        <v>461</v>
      </c>
      <c r="D465" s="4">
        <v>24.8</v>
      </c>
      <c r="E465" s="4">
        <v>24.8</v>
      </c>
      <c r="F465" s="4">
        <v>0</v>
      </c>
    </row>
    <row r="466" spans="1:6" x14ac:dyDescent="0.35">
      <c r="A466" s="2">
        <v>1262130023</v>
      </c>
      <c r="B466" s="6" t="s">
        <v>862</v>
      </c>
      <c r="C466" s="2" t="s">
        <v>461</v>
      </c>
      <c r="D466" s="4">
        <v>54.7</v>
      </c>
      <c r="E466" s="4">
        <v>54.7</v>
      </c>
      <c r="F466" s="4">
        <v>0</v>
      </c>
    </row>
    <row r="467" spans="1:6" x14ac:dyDescent="0.35">
      <c r="A467" s="2">
        <v>1262130024</v>
      </c>
      <c r="B467" s="6" t="s">
        <v>863</v>
      </c>
      <c r="C467" s="2" t="s">
        <v>461</v>
      </c>
      <c r="D467" s="4">
        <v>52.84</v>
      </c>
      <c r="E467" s="4">
        <v>52.84</v>
      </c>
      <c r="F467" s="4">
        <v>0</v>
      </c>
    </row>
    <row r="468" spans="1:6" x14ac:dyDescent="0.35">
      <c r="A468" s="2">
        <v>1262130025</v>
      </c>
      <c r="B468" s="6" t="s">
        <v>864</v>
      </c>
      <c r="C468" s="2" t="s">
        <v>461</v>
      </c>
      <c r="D468" s="4">
        <v>48.24</v>
      </c>
      <c r="E468" s="4">
        <v>48.24</v>
      </c>
      <c r="F468" s="4">
        <v>0</v>
      </c>
    </row>
    <row r="469" spans="1:6" x14ac:dyDescent="0.35">
      <c r="A469" s="2">
        <v>1262130026</v>
      </c>
      <c r="B469" s="6" t="s">
        <v>865</v>
      </c>
      <c r="C469" s="2" t="s">
        <v>461</v>
      </c>
      <c r="D469" s="4">
        <v>41.93</v>
      </c>
      <c r="E469" s="4">
        <v>41.93</v>
      </c>
      <c r="F469" s="4">
        <v>0</v>
      </c>
    </row>
    <row r="470" spans="1:6" x14ac:dyDescent="0.35">
      <c r="A470" s="2">
        <v>1262130027</v>
      </c>
      <c r="B470" s="6" t="s">
        <v>866</v>
      </c>
      <c r="C470" s="2" t="s">
        <v>461</v>
      </c>
      <c r="D470" s="4">
        <v>38.83</v>
      </c>
      <c r="E470" s="4">
        <v>38.83</v>
      </c>
      <c r="F470" s="4">
        <v>0</v>
      </c>
    </row>
    <row r="471" spans="1:6" x14ac:dyDescent="0.35">
      <c r="A471" s="2">
        <v>1262130028</v>
      </c>
      <c r="B471" s="6" t="s">
        <v>867</v>
      </c>
      <c r="C471" s="2" t="s">
        <v>461</v>
      </c>
      <c r="D471" s="4">
        <v>47.11</v>
      </c>
      <c r="E471" s="4">
        <v>47.11</v>
      </c>
      <c r="F471" s="4">
        <v>0</v>
      </c>
    </row>
    <row r="472" spans="1:6" x14ac:dyDescent="0.35">
      <c r="A472" s="2">
        <v>1262130029</v>
      </c>
      <c r="B472" s="6" t="s">
        <v>868</v>
      </c>
      <c r="C472" s="2" t="s">
        <v>461</v>
      </c>
      <c r="D472" s="4">
        <v>48.63</v>
      </c>
      <c r="E472" s="4">
        <v>48.63</v>
      </c>
      <c r="F472" s="4">
        <v>0</v>
      </c>
    </row>
    <row r="473" spans="1:6" x14ac:dyDescent="0.35">
      <c r="A473" s="2">
        <v>1262130031</v>
      </c>
      <c r="B473" s="6" t="s">
        <v>869</v>
      </c>
      <c r="C473" s="2" t="s">
        <v>461</v>
      </c>
      <c r="D473" s="4">
        <v>51.63</v>
      </c>
      <c r="E473" s="4">
        <v>51.63</v>
      </c>
      <c r="F473" s="4">
        <v>0</v>
      </c>
    </row>
    <row r="474" spans="1:6" x14ac:dyDescent="0.35">
      <c r="A474" s="2">
        <v>1262130032</v>
      </c>
      <c r="B474" s="6" t="s">
        <v>870</v>
      </c>
      <c r="C474" s="2" t="s">
        <v>461</v>
      </c>
      <c r="D474" s="4">
        <v>9.4499999999999993</v>
      </c>
      <c r="E474" s="4">
        <v>9.4499999999999993</v>
      </c>
      <c r="F474" s="4">
        <v>0</v>
      </c>
    </row>
    <row r="475" spans="1:6" x14ac:dyDescent="0.35">
      <c r="A475" s="2">
        <v>1262130033</v>
      </c>
      <c r="B475" s="6" t="s">
        <v>871</v>
      </c>
      <c r="C475" s="2" t="s">
        <v>461</v>
      </c>
      <c r="D475" s="4">
        <v>2</v>
      </c>
      <c r="E475" s="4">
        <v>2</v>
      </c>
      <c r="F475" s="4">
        <v>0</v>
      </c>
    </row>
    <row r="476" spans="1:6" x14ac:dyDescent="0.35">
      <c r="A476" s="2">
        <v>1262130034</v>
      </c>
      <c r="B476" s="6" t="s">
        <v>872</v>
      </c>
      <c r="C476" s="2" t="s">
        <v>461</v>
      </c>
      <c r="D476" s="4">
        <v>2.15</v>
      </c>
      <c r="E476" s="4">
        <v>2.15</v>
      </c>
      <c r="F476" s="4">
        <v>0</v>
      </c>
    </row>
    <row r="477" spans="1:6" x14ac:dyDescent="0.35">
      <c r="A477" s="2">
        <v>1262130035</v>
      </c>
      <c r="B477" s="6" t="s">
        <v>873</v>
      </c>
      <c r="C477" s="2" t="s">
        <v>461</v>
      </c>
      <c r="D477" s="4">
        <v>11.45</v>
      </c>
      <c r="E477" s="4">
        <v>11.45</v>
      </c>
      <c r="F477" s="4">
        <v>0</v>
      </c>
    </row>
    <row r="478" spans="1:6" x14ac:dyDescent="0.35">
      <c r="A478" s="2">
        <v>1262130036</v>
      </c>
      <c r="B478" s="6" t="s">
        <v>874</v>
      </c>
      <c r="C478" s="2" t="s">
        <v>461</v>
      </c>
      <c r="D478" s="4">
        <v>5</v>
      </c>
      <c r="E478" s="4">
        <v>5</v>
      </c>
      <c r="F478" s="4">
        <v>0</v>
      </c>
    </row>
    <row r="479" spans="1:6" x14ac:dyDescent="0.35">
      <c r="A479" s="2">
        <v>1262130037</v>
      </c>
      <c r="B479" s="6" t="s">
        <v>875</v>
      </c>
      <c r="C479" s="2" t="s">
        <v>477</v>
      </c>
      <c r="D479" s="4">
        <v>74</v>
      </c>
      <c r="E479" s="4">
        <v>74</v>
      </c>
    </row>
    <row r="480" spans="1:6" x14ac:dyDescent="0.35">
      <c r="A480" s="2">
        <v>1262130038</v>
      </c>
      <c r="B480" s="6" t="s">
        <v>876</v>
      </c>
      <c r="C480" s="2" t="s">
        <v>461</v>
      </c>
      <c r="D480" s="4">
        <v>1.2</v>
      </c>
      <c r="E480" s="4">
        <v>1.2</v>
      </c>
    </row>
    <row r="481" spans="1:6" x14ac:dyDescent="0.35">
      <c r="A481" s="2">
        <v>1263080001</v>
      </c>
      <c r="B481" s="6" t="s">
        <v>877</v>
      </c>
      <c r="C481" s="2" t="s">
        <v>461</v>
      </c>
      <c r="D481" s="4">
        <v>0.44154934499999998</v>
      </c>
      <c r="E481" s="4">
        <v>0.44154934499999998</v>
      </c>
      <c r="F481" s="4">
        <v>0</v>
      </c>
    </row>
    <row r="482" spans="1:6" x14ac:dyDescent="0.35">
      <c r="A482" s="2">
        <v>1263080002</v>
      </c>
      <c r="B482" s="6" t="s">
        <v>878</v>
      </c>
      <c r="C482" s="2" t="s">
        <v>461</v>
      </c>
      <c r="D482" s="4">
        <v>0.41241157099999998</v>
      </c>
      <c r="E482" s="4">
        <v>0.41241157099999998</v>
      </c>
      <c r="F482" s="4">
        <v>0</v>
      </c>
    </row>
    <row r="483" spans="1:6" x14ac:dyDescent="0.35">
      <c r="A483" s="2">
        <v>1263080003</v>
      </c>
      <c r="B483" s="6" t="s">
        <v>879</v>
      </c>
      <c r="C483" s="2" t="s">
        <v>461</v>
      </c>
      <c r="D483" s="4">
        <v>0.66568606900000005</v>
      </c>
      <c r="E483" s="4">
        <v>0.66568606900000005</v>
      </c>
      <c r="F483" s="4">
        <v>0</v>
      </c>
    </row>
    <row r="484" spans="1:6" x14ac:dyDescent="0.35">
      <c r="A484" s="2">
        <v>1263080004</v>
      </c>
      <c r="B484" s="6" t="s">
        <v>880</v>
      </c>
      <c r="C484" s="2" t="s">
        <v>461</v>
      </c>
      <c r="D484" s="4">
        <v>0.82034040799999997</v>
      </c>
      <c r="E484" s="4">
        <v>0.82034040799999997</v>
      </c>
      <c r="F484" s="4">
        <v>0</v>
      </c>
    </row>
    <row r="485" spans="1:6" x14ac:dyDescent="0.35">
      <c r="A485" s="2">
        <v>1263080006</v>
      </c>
      <c r="B485" s="6" t="s">
        <v>881</v>
      </c>
      <c r="C485" s="2" t="s">
        <v>461</v>
      </c>
      <c r="D485" s="4">
        <v>2.5775723190000002</v>
      </c>
      <c r="E485" s="4">
        <v>2.5775723190000002</v>
      </c>
      <c r="F485" s="4">
        <v>0</v>
      </c>
    </row>
    <row r="486" spans="1:6" x14ac:dyDescent="0.35">
      <c r="A486" s="2">
        <v>1263130001</v>
      </c>
      <c r="B486" s="6" t="s">
        <v>882</v>
      </c>
      <c r="C486" s="2" t="s">
        <v>461</v>
      </c>
      <c r="D486" s="4">
        <v>10.210000000000001</v>
      </c>
      <c r="E486" s="4">
        <v>10.210000000000001</v>
      </c>
      <c r="F486" s="4">
        <v>0</v>
      </c>
    </row>
    <row r="487" spans="1:6" x14ac:dyDescent="0.35">
      <c r="A487" s="2">
        <v>1263130002</v>
      </c>
      <c r="B487" s="6" t="s">
        <v>883</v>
      </c>
      <c r="C487" s="2" t="s">
        <v>461</v>
      </c>
      <c r="D487" s="4">
        <v>11.1</v>
      </c>
      <c r="E487" s="4">
        <v>11.1</v>
      </c>
      <c r="F487" s="4">
        <v>0</v>
      </c>
    </row>
    <row r="488" spans="1:6" x14ac:dyDescent="0.35">
      <c r="A488" s="2">
        <v>1263130003</v>
      </c>
      <c r="B488" s="6" t="s">
        <v>884</v>
      </c>
      <c r="C488" s="2" t="s">
        <v>461</v>
      </c>
      <c r="D488" s="4">
        <v>30.190999999999999</v>
      </c>
      <c r="E488" s="4">
        <v>30.190999999999999</v>
      </c>
      <c r="F488" s="4">
        <v>0</v>
      </c>
    </row>
    <row r="489" spans="1:6" x14ac:dyDescent="0.35">
      <c r="A489" s="2">
        <v>1263130005</v>
      </c>
      <c r="B489" s="6" t="s">
        <v>885</v>
      </c>
      <c r="C489" s="2" t="s">
        <v>477</v>
      </c>
      <c r="D489" s="4">
        <v>0.78</v>
      </c>
      <c r="E489" s="4">
        <v>0.78</v>
      </c>
      <c r="F489" s="4">
        <v>0</v>
      </c>
    </row>
    <row r="490" spans="1:6" x14ac:dyDescent="0.35">
      <c r="A490" s="2">
        <v>1263130006</v>
      </c>
      <c r="B490" s="6" t="s">
        <v>886</v>
      </c>
      <c r="C490" s="2" t="s">
        <v>477</v>
      </c>
      <c r="D490" s="4">
        <v>1.192407368</v>
      </c>
      <c r="E490" s="4">
        <v>1.192407368</v>
      </c>
      <c r="F490" s="4">
        <v>0</v>
      </c>
    </row>
    <row r="491" spans="1:6" x14ac:dyDescent="0.35">
      <c r="A491" s="2">
        <v>1263130007</v>
      </c>
      <c r="B491" s="6" t="s">
        <v>887</v>
      </c>
      <c r="C491" s="2" t="s">
        <v>477</v>
      </c>
      <c r="D491" s="4">
        <v>1.4488799999999999</v>
      </c>
      <c r="E491" s="4">
        <v>1.4488799999999999</v>
      </c>
      <c r="F491" s="4">
        <v>0</v>
      </c>
    </row>
    <row r="492" spans="1:6" x14ac:dyDescent="0.35">
      <c r="A492" s="2">
        <v>1263130010</v>
      </c>
      <c r="B492" s="6" t="s">
        <v>888</v>
      </c>
      <c r="C492" s="2" t="s">
        <v>461</v>
      </c>
      <c r="D492" s="4">
        <v>11.86</v>
      </c>
      <c r="E492" s="4">
        <v>11.86</v>
      </c>
      <c r="F492" s="4">
        <v>0</v>
      </c>
    </row>
    <row r="493" spans="1:6" x14ac:dyDescent="0.35">
      <c r="A493" s="2">
        <v>1264070001</v>
      </c>
      <c r="B493" s="6" t="s">
        <v>889</v>
      </c>
      <c r="C493" s="2" t="s">
        <v>461</v>
      </c>
      <c r="D493" s="4">
        <v>1.719128668</v>
      </c>
      <c r="E493" s="4">
        <v>1.719128668</v>
      </c>
      <c r="F493" s="4">
        <v>0</v>
      </c>
    </row>
    <row r="494" spans="1:6" x14ac:dyDescent="0.35">
      <c r="A494" s="2">
        <v>1264070002</v>
      </c>
      <c r="B494" s="6" t="s">
        <v>890</v>
      </c>
      <c r="C494" s="2" t="s">
        <v>461</v>
      </c>
      <c r="D494" s="4">
        <v>2.8286054489999999</v>
      </c>
      <c r="E494" s="4">
        <v>2.8286054489999999</v>
      </c>
      <c r="F494" s="4">
        <v>0</v>
      </c>
    </row>
    <row r="495" spans="1:6" x14ac:dyDescent="0.35">
      <c r="A495" s="2">
        <v>1264070003</v>
      </c>
      <c r="B495" s="6" t="s">
        <v>891</v>
      </c>
      <c r="C495" s="2" t="s">
        <v>461</v>
      </c>
      <c r="D495" s="4">
        <v>0.86499999999999999</v>
      </c>
      <c r="E495" s="4">
        <v>0.86499999999999999</v>
      </c>
      <c r="F495" s="4">
        <v>0</v>
      </c>
    </row>
    <row r="496" spans="1:6" x14ac:dyDescent="0.35">
      <c r="A496" s="2">
        <v>1264070004</v>
      </c>
      <c r="B496" s="6" t="s">
        <v>892</v>
      </c>
      <c r="C496" s="2" t="s">
        <v>461</v>
      </c>
      <c r="D496" s="4">
        <v>0.60299999999999998</v>
      </c>
      <c r="E496" s="4">
        <v>0.60299999999999998</v>
      </c>
      <c r="F496" s="4">
        <v>0</v>
      </c>
    </row>
    <row r="497" spans="1:6" x14ac:dyDescent="0.35">
      <c r="A497" s="2">
        <v>1264070005</v>
      </c>
      <c r="B497" s="6" t="s">
        <v>893</v>
      </c>
      <c r="C497" s="2" t="s">
        <v>461</v>
      </c>
      <c r="D497" s="4">
        <v>0.45800000000000002</v>
      </c>
      <c r="E497" s="4">
        <v>0.45800000000000002</v>
      </c>
      <c r="F497" s="4">
        <v>0</v>
      </c>
    </row>
    <row r="498" spans="1:6" x14ac:dyDescent="0.35">
      <c r="A498" s="2">
        <v>1264070006</v>
      </c>
      <c r="B498" s="6" t="s">
        <v>894</v>
      </c>
      <c r="C498" s="2" t="s">
        <v>461</v>
      </c>
      <c r="D498" s="4">
        <v>0.86499999999999999</v>
      </c>
      <c r="E498" s="4">
        <v>0.86499999999999999</v>
      </c>
      <c r="F498" s="4">
        <v>0</v>
      </c>
    </row>
    <row r="499" spans="1:6" x14ac:dyDescent="0.35">
      <c r="A499" s="2">
        <v>1264070007</v>
      </c>
      <c r="B499" s="6" t="s">
        <v>895</v>
      </c>
      <c r="C499" s="2" t="s">
        <v>461</v>
      </c>
      <c r="D499" s="4">
        <v>0.22189535599999999</v>
      </c>
      <c r="E499" s="4">
        <v>0.22189535599999999</v>
      </c>
      <c r="F499" s="4">
        <v>0</v>
      </c>
    </row>
    <row r="500" spans="1:6" x14ac:dyDescent="0.35">
      <c r="A500" s="2">
        <v>1264070008</v>
      </c>
      <c r="B500" s="6" t="s">
        <v>896</v>
      </c>
      <c r="C500" s="2" t="s">
        <v>461</v>
      </c>
      <c r="D500" s="4">
        <v>1.0332702949999999</v>
      </c>
      <c r="E500" s="4">
        <v>1.0332702949999999</v>
      </c>
      <c r="F500" s="4">
        <v>0</v>
      </c>
    </row>
    <row r="501" spans="1:6" x14ac:dyDescent="0.35">
      <c r="A501" s="2">
        <v>1264070009</v>
      </c>
      <c r="B501" s="6" t="s">
        <v>897</v>
      </c>
      <c r="C501" s="2" t="s">
        <v>461</v>
      </c>
      <c r="D501" s="4">
        <v>1.0691321709999999</v>
      </c>
      <c r="E501" s="4">
        <v>1.0691321709999999</v>
      </c>
      <c r="F501" s="4">
        <v>0</v>
      </c>
    </row>
    <row r="502" spans="1:6" x14ac:dyDescent="0.35">
      <c r="A502" s="2">
        <v>1264070010</v>
      </c>
      <c r="B502" s="6" t="s">
        <v>898</v>
      </c>
      <c r="C502" s="2" t="s">
        <v>461</v>
      </c>
      <c r="D502" s="4">
        <v>1.042235764</v>
      </c>
      <c r="E502" s="4">
        <v>1.042235764</v>
      </c>
      <c r="F502" s="4">
        <v>0</v>
      </c>
    </row>
    <row r="503" spans="1:6" x14ac:dyDescent="0.35">
      <c r="A503" s="2">
        <v>1264070011</v>
      </c>
      <c r="B503" s="6" t="s">
        <v>899</v>
      </c>
      <c r="C503" s="2" t="s">
        <v>461</v>
      </c>
      <c r="D503" s="4">
        <v>0.60599999999999998</v>
      </c>
      <c r="E503" s="4">
        <v>0.60599999999999998</v>
      </c>
      <c r="F503" s="4">
        <v>0</v>
      </c>
    </row>
    <row r="504" spans="1:6" x14ac:dyDescent="0.35">
      <c r="A504" s="2">
        <v>1264070012</v>
      </c>
      <c r="B504" s="6" t="s">
        <v>900</v>
      </c>
      <c r="C504" s="2" t="s">
        <v>461</v>
      </c>
      <c r="D504" s="4">
        <v>1.667577222</v>
      </c>
      <c r="E504" s="4">
        <v>1.667577222</v>
      </c>
      <c r="F504" s="4">
        <v>0</v>
      </c>
    </row>
    <row r="505" spans="1:6" x14ac:dyDescent="0.35">
      <c r="A505" s="2">
        <v>1264070013</v>
      </c>
      <c r="B505" s="6" t="s">
        <v>901</v>
      </c>
      <c r="C505" s="2" t="s">
        <v>461</v>
      </c>
      <c r="D505" s="4">
        <v>3.2836029980000001</v>
      </c>
      <c r="E505" s="4">
        <v>3.2836029980000001</v>
      </c>
      <c r="F505" s="4">
        <v>0</v>
      </c>
    </row>
    <row r="506" spans="1:6" x14ac:dyDescent="0.35">
      <c r="A506" s="2">
        <v>1264070014</v>
      </c>
      <c r="B506" s="6" t="s">
        <v>902</v>
      </c>
      <c r="C506" s="2" t="s">
        <v>461</v>
      </c>
      <c r="D506" s="4">
        <v>2.142747076</v>
      </c>
      <c r="E506" s="4">
        <v>2.142747076</v>
      </c>
      <c r="F506" s="4">
        <v>0</v>
      </c>
    </row>
    <row r="507" spans="1:6" x14ac:dyDescent="0.35">
      <c r="A507" s="2">
        <v>1264070016</v>
      </c>
      <c r="B507" s="6" t="s">
        <v>903</v>
      </c>
      <c r="C507" s="2" t="s">
        <v>461</v>
      </c>
      <c r="D507" s="4">
        <v>0.23086082499999999</v>
      </c>
      <c r="E507" s="4">
        <v>0.23086082499999999</v>
      </c>
      <c r="F507" s="4">
        <v>0</v>
      </c>
    </row>
    <row r="508" spans="1:6" x14ac:dyDescent="0.35">
      <c r="A508" s="2">
        <v>1264070017</v>
      </c>
      <c r="B508" s="6" t="s">
        <v>904</v>
      </c>
      <c r="C508" s="2" t="s">
        <v>461</v>
      </c>
      <c r="D508" s="4">
        <v>0.61189325500000002</v>
      </c>
      <c r="E508" s="4">
        <v>0.61189325500000002</v>
      </c>
      <c r="F508" s="4">
        <v>0</v>
      </c>
    </row>
    <row r="509" spans="1:6" x14ac:dyDescent="0.35">
      <c r="A509" s="2">
        <v>1264070018</v>
      </c>
      <c r="B509" s="6" t="s">
        <v>905</v>
      </c>
      <c r="C509" s="2" t="s">
        <v>461</v>
      </c>
      <c r="D509" s="4">
        <v>0.29586047500000001</v>
      </c>
      <c r="E509" s="4">
        <v>0.29586047500000001</v>
      </c>
      <c r="F509" s="4">
        <v>0</v>
      </c>
    </row>
    <row r="510" spans="1:6" x14ac:dyDescent="0.35">
      <c r="A510" s="2">
        <v>1264070019</v>
      </c>
      <c r="B510" s="6" t="s">
        <v>906</v>
      </c>
      <c r="C510" s="2" t="s">
        <v>461</v>
      </c>
      <c r="D510" s="4">
        <v>0.23310219200000001</v>
      </c>
      <c r="E510" s="4">
        <v>0.23310219200000001</v>
      </c>
      <c r="F510" s="4">
        <v>0</v>
      </c>
    </row>
    <row r="511" spans="1:6" x14ac:dyDescent="0.35">
      <c r="A511" s="2">
        <v>1264130002</v>
      </c>
      <c r="B511" s="6" t="s">
        <v>907</v>
      </c>
      <c r="C511" s="2" t="s">
        <v>461</v>
      </c>
      <c r="D511" s="4">
        <v>0.86516775199999996</v>
      </c>
      <c r="E511" s="4">
        <v>0.86516775199999996</v>
      </c>
      <c r="F511" s="4">
        <v>0</v>
      </c>
    </row>
    <row r="512" spans="1:6" x14ac:dyDescent="0.35">
      <c r="A512" s="2">
        <v>1264130003</v>
      </c>
      <c r="B512" s="6" t="s">
        <v>908</v>
      </c>
      <c r="C512" s="2" t="s">
        <v>461</v>
      </c>
      <c r="D512" s="4">
        <v>0.17930937899999999</v>
      </c>
      <c r="E512" s="4">
        <v>0.17930937899999999</v>
      </c>
      <c r="F512" s="4">
        <v>0</v>
      </c>
    </row>
    <row r="513" spans="1:6" x14ac:dyDescent="0.35">
      <c r="A513" s="2">
        <v>1264130004</v>
      </c>
      <c r="B513" s="6" t="s">
        <v>909</v>
      </c>
      <c r="C513" s="2" t="s">
        <v>461</v>
      </c>
      <c r="D513" s="4">
        <v>0.34965328899999998</v>
      </c>
      <c r="E513" s="4">
        <v>0.34965328899999998</v>
      </c>
      <c r="F513" s="4">
        <v>0</v>
      </c>
    </row>
    <row r="514" spans="1:6" x14ac:dyDescent="0.35">
      <c r="A514" s="2">
        <v>1264130005</v>
      </c>
      <c r="B514" s="6" t="s">
        <v>910</v>
      </c>
      <c r="C514" s="2" t="s">
        <v>461</v>
      </c>
      <c r="D514" s="4">
        <v>0.36310149200000003</v>
      </c>
      <c r="E514" s="4">
        <v>0.36310149200000003</v>
      </c>
      <c r="F514" s="4">
        <v>0</v>
      </c>
    </row>
    <row r="515" spans="1:6" x14ac:dyDescent="0.35">
      <c r="A515" s="2">
        <v>1264130006</v>
      </c>
      <c r="B515" s="6" t="s">
        <v>911</v>
      </c>
      <c r="C515" s="2" t="s">
        <v>461</v>
      </c>
      <c r="D515" s="4">
        <v>0.36310149200000003</v>
      </c>
      <c r="E515" s="4">
        <v>0.36310149200000003</v>
      </c>
      <c r="F515" s="4">
        <v>0</v>
      </c>
    </row>
    <row r="516" spans="1:6" x14ac:dyDescent="0.35">
      <c r="A516" s="2">
        <v>1264130011</v>
      </c>
      <c r="B516" s="6" t="s">
        <v>912</v>
      </c>
      <c r="C516" s="2" t="s">
        <v>477</v>
      </c>
      <c r="D516" s="4">
        <v>18.047999999999998</v>
      </c>
      <c r="E516" s="4">
        <v>18.047999999999998</v>
      </c>
      <c r="F516" s="4">
        <v>0</v>
      </c>
    </row>
    <row r="517" spans="1:6" x14ac:dyDescent="0.35">
      <c r="A517" s="2">
        <v>1264130012</v>
      </c>
      <c r="B517" s="6" t="s">
        <v>913</v>
      </c>
      <c r="C517" s="2" t="s">
        <v>461</v>
      </c>
      <c r="D517" s="4">
        <v>1.35</v>
      </c>
      <c r="E517" s="4">
        <v>1.35</v>
      </c>
      <c r="F517" s="4">
        <v>0</v>
      </c>
    </row>
    <row r="518" spans="1:6" x14ac:dyDescent="0.35">
      <c r="A518" s="2">
        <v>1264130013</v>
      </c>
      <c r="B518" s="6" t="s">
        <v>914</v>
      </c>
      <c r="C518" s="2" t="s">
        <v>477</v>
      </c>
      <c r="D518" s="4">
        <v>29.107199999999999</v>
      </c>
      <c r="E518" s="4">
        <v>29.107199999999999</v>
      </c>
      <c r="F518" s="4">
        <v>0</v>
      </c>
    </row>
    <row r="519" spans="1:6" x14ac:dyDescent="0.35">
      <c r="A519" s="2">
        <v>1264130014</v>
      </c>
      <c r="B519" s="6" t="s">
        <v>915</v>
      </c>
      <c r="C519" s="2" t="s">
        <v>477</v>
      </c>
      <c r="D519" s="4">
        <v>40.281914630000003</v>
      </c>
      <c r="E519" s="4">
        <v>40.281914630000003</v>
      </c>
      <c r="F519" s="4">
        <v>0</v>
      </c>
    </row>
    <row r="520" spans="1:6" x14ac:dyDescent="0.35">
      <c r="A520" s="2">
        <v>1264130015</v>
      </c>
      <c r="B520" s="6" t="s">
        <v>916</v>
      </c>
      <c r="C520" s="2" t="s">
        <v>477</v>
      </c>
      <c r="D520" s="4">
        <v>2.8159999999999998</v>
      </c>
      <c r="E520" s="4">
        <v>2.8159999999999998</v>
      </c>
      <c r="F520" s="4">
        <v>0</v>
      </c>
    </row>
    <row r="521" spans="1:6" x14ac:dyDescent="0.35">
      <c r="A521" s="2">
        <v>1264130016</v>
      </c>
      <c r="B521" s="6" t="s">
        <v>917</v>
      </c>
      <c r="C521" s="2" t="s">
        <v>477</v>
      </c>
      <c r="D521" s="4">
        <v>46.076755470000002</v>
      </c>
      <c r="E521" s="4">
        <v>46.076755470000002</v>
      </c>
      <c r="F521" s="4">
        <v>0</v>
      </c>
    </row>
    <row r="522" spans="1:6" x14ac:dyDescent="0.35">
      <c r="A522" s="2">
        <v>1264130017</v>
      </c>
      <c r="B522" s="6" t="s">
        <v>918</v>
      </c>
      <c r="C522" s="2" t="s">
        <v>477</v>
      </c>
      <c r="D522" s="4">
        <v>5.1840000000000002</v>
      </c>
      <c r="E522" s="4">
        <v>5.1840000000000002</v>
      </c>
      <c r="F522" s="4">
        <v>0</v>
      </c>
    </row>
    <row r="523" spans="1:6" x14ac:dyDescent="0.35">
      <c r="A523" s="2">
        <v>1264130019</v>
      </c>
      <c r="B523" s="6" t="s">
        <v>919</v>
      </c>
      <c r="C523" s="2" t="s">
        <v>461</v>
      </c>
      <c r="D523" s="4">
        <v>0.32948098300000001</v>
      </c>
      <c r="E523" s="4">
        <v>0.32948098300000001</v>
      </c>
      <c r="F523" s="4">
        <v>0</v>
      </c>
    </row>
    <row r="524" spans="1:6" x14ac:dyDescent="0.35">
      <c r="A524" s="2">
        <v>1264130021</v>
      </c>
      <c r="B524" s="6" t="s">
        <v>920</v>
      </c>
      <c r="C524" s="2" t="s">
        <v>477</v>
      </c>
      <c r="D524" s="4">
        <v>35.880000000000003</v>
      </c>
      <c r="E524" s="4">
        <v>30</v>
      </c>
      <c r="F524" s="4">
        <v>5.88</v>
      </c>
    </row>
    <row r="525" spans="1:6" x14ac:dyDescent="0.35">
      <c r="A525" s="2">
        <v>1264130022</v>
      </c>
      <c r="B525" s="6" t="s">
        <v>921</v>
      </c>
      <c r="C525" s="2" t="s">
        <v>477</v>
      </c>
      <c r="D525" s="4">
        <v>9.9507200000000005</v>
      </c>
      <c r="E525" s="4">
        <v>8.32</v>
      </c>
      <c r="F525" s="4">
        <v>1.6307199999999999</v>
      </c>
    </row>
    <row r="526" spans="1:6" x14ac:dyDescent="0.35">
      <c r="A526" s="2">
        <v>1264130023</v>
      </c>
      <c r="B526" s="6" t="s">
        <v>922</v>
      </c>
      <c r="C526" s="2" t="s">
        <v>461</v>
      </c>
      <c r="D526" s="4">
        <v>0.86499999999999999</v>
      </c>
      <c r="E526" s="4">
        <v>0.86499999999999999</v>
      </c>
      <c r="F526" s="4">
        <v>0</v>
      </c>
    </row>
    <row r="527" spans="1:6" x14ac:dyDescent="0.35">
      <c r="A527" s="2">
        <v>1401200002</v>
      </c>
      <c r="B527" s="6" t="s">
        <v>923</v>
      </c>
      <c r="C527" s="2" t="s">
        <v>461</v>
      </c>
      <c r="D527" s="4">
        <v>4.2</v>
      </c>
      <c r="E527" s="4">
        <v>4.2</v>
      </c>
      <c r="F527" s="4">
        <v>0</v>
      </c>
    </row>
    <row r="528" spans="1:6" x14ac:dyDescent="0.35">
      <c r="A528" s="2">
        <v>1401220013</v>
      </c>
      <c r="B528" s="6" t="s">
        <v>924</v>
      </c>
      <c r="C528" s="2" t="s">
        <v>432</v>
      </c>
      <c r="D528" s="4">
        <v>520</v>
      </c>
      <c r="E528" s="4">
        <v>520</v>
      </c>
      <c r="F528" s="4">
        <v>0</v>
      </c>
    </row>
    <row r="529" spans="1:6" x14ac:dyDescent="0.35">
      <c r="A529" s="2">
        <v>1401400002</v>
      </c>
      <c r="B529" s="6" t="s">
        <v>925</v>
      </c>
      <c r="C529" s="2" t="s">
        <v>461</v>
      </c>
      <c r="D529" s="4">
        <v>82.8</v>
      </c>
      <c r="E529" s="4">
        <v>82.8</v>
      </c>
      <c r="F529" s="4">
        <v>0</v>
      </c>
    </row>
    <row r="530" spans="1:6" x14ac:dyDescent="0.35">
      <c r="A530" s="2">
        <v>1401400005</v>
      </c>
      <c r="B530" s="6" t="s">
        <v>926</v>
      </c>
      <c r="C530" s="2" t="s">
        <v>461</v>
      </c>
      <c r="D530" s="4">
        <v>125</v>
      </c>
      <c r="E530" s="4">
        <v>125</v>
      </c>
      <c r="F530" s="4">
        <v>0</v>
      </c>
    </row>
    <row r="531" spans="1:6" x14ac:dyDescent="0.35">
      <c r="A531" s="2">
        <v>1401400006</v>
      </c>
      <c r="B531" s="6" t="s">
        <v>927</v>
      </c>
      <c r="C531" s="2" t="s">
        <v>461</v>
      </c>
      <c r="D531" s="4">
        <v>4.2</v>
      </c>
      <c r="E531" s="4">
        <v>4.2</v>
      </c>
      <c r="F531" s="4">
        <v>0</v>
      </c>
    </row>
    <row r="532" spans="1:6" x14ac:dyDescent="0.35">
      <c r="A532" s="2">
        <v>1401400007</v>
      </c>
      <c r="B532" s="6" t="s">
        <v>928</v>
      </c>
      <c r="C532" s="2" t="s">
        <v>461</v>
      </c>
      <c r="D532" s="4">
        <v>4.2</v>
      </c>
      <c r="E532" s="4">
        <v>4.2</v>
      </c>
      <c r="F532" s="4">
        <v>0</v>
      </c>
    </row>
    <row r="533" spans="1:6" x14ac:dyDescent="0.35">
      <c r="A533" s="2">
        <v>1401400008</v>
      </c>
      <c r="B533" s="6" t="s">
        <v>929</v>
      </c>
      <c r="C533" s="2" t="s">
        <v>461</v>
      </c>
      <c r="D533" s="4">
        <v>4.2</v>
      </c>
      <c r="E533" s="4">
        <v>4.2</v>
      </c>
      <c r="F533" s="4">
        <v>0</v>
      </c>
    </row>
    <row r="534" spans="1:6" x14ac:dyDescent="0.35">
      <c r="A534" s="2">
        <v>1401400009</v>
      </c>
      <c r="B534" s="6" t="s">
        <v>224</v>
      </c>
      <c r="C534" s="2" t="s">
        <v>461</v>
      </c>
      <c r="D534" s="4">
        <v>17</v>
      </c>
      <c r="E534" s="4">
        <v>17</v>
      </c>
      <c r="F534" s="4">
        <v>0</v>
      </c>
    </row>
    <row r="535" spans="1:6" x14ac:dyDescent="0.35">
      <c r="A535" s="2">
        <v>1401400010</v>
      </c>
      <c r="B535" s="6" t="s">
        <v>930</v>
      </c>
      <c r="C535" s="2" t="s">
        <v>461</v>
      </c>
      <c r="D535" s="4">
        <v>4.2</v>
      </c>
      <c r="E535" s="4">
        <v>4.2</v>
      </c>
      <c r="F535" s="4">
        <v>0</v>
      </c>
    </row>
    <row r="536" spans="1:6" x14ac:dyDescent="0.35">
      <c r="A536" s="2">
        <v>1401400011</v>
      </c>
      <c r="B536" s="6" t="s">
        <v>163</v>
      </c>
      <c r="C536" s="2" t="s">
        <v>15</v>
      </c>
      <c r="D536" s="4">
        <v>70</v>
      </c>
      <c r="E536" s="4">
        <v>70</v>
      </c>
      <c r="F536" s="4">
        <v>0</v>
      </c>
    </row>
    <row r="537" spans="1:6" x14ac:dyDescent="0.35">
      <c r="A537" s="2">
        <v>1401400013</v>
      </c>
      <c r="B537" s="6" t="s">
        <v>931</v>
      </c>
      <c r="C537" s="2" t="s">
        <v>461</v>
      </c>
      <c r="D537" s="4">
        <v>17</v>
      </c>
      <c r="E537" s="4">
        <v>17</v>
      </c>
      <c r="F537" s="4">
        <v>0</v>
      </c>
    </row>
    <row r="538" spans="1:6" x14ac:dyDescent="0.35">
      <c r="A538" s="2">
        <v>1401400014</v>
      </c>
      <c r="B538" s="6" t="s">
        <v>932</v>
      </c>
      <c r="C538" s="2" t="s">
        <v>461</v>
      </c>
      <c r="D538" s="4">
        <v>17</v>
      </c>
      <c r="E538" s="4">
        <v>17</v>
      </c>
      <c r="F538" s="4">
        <v>0</v>
      </c>
    </row>
    <row r="539" spans="1:6" x14ac:dyDescent="0.35">
      <c r="A539" s="2">
        <v>1401400015</v>
      </c>
      <c r="B539" s="6" t="s">
        <v>933</v>
      </c>
      <c r="C539" s="2" t="s">
        <v>461</v>
      </c>
      <c r="D539" s="4">
        <v>7.25</v>
      </c>
      <c r="E539" s="4">
        <v>7.25</v>
      </c>
      <c r="F539" s="4">
        <v>0</v>
      </c>
    </row>
    <row r="540" spans="1:6" x14ac:dyDescent="0.35">
      <c r="A540" s="2">
        <v>1401400016</v>
      </c>
      <c r="B540" s="6" t="s">
        <v>934</v>
      </c>
      <c r="C540" s="2" t="s">
        <v>461</v>
      </c>
      <c r="D540" s="4">
        <v>7.25</v>
      </c>
      <c r="E540" s="4">
        <v>7.25</v>
      </c>
      <c r="F540" s="4">
        <v>0</v>
      </c>
    </row>
    <row r="541" spans="1:6" x14ac:dyDescent="0.35">
      <c r="A541" s="2">
        <v>1401400017</v>
      </c>
      <c r="B541" s="6" t="s">
        <v>935</v>
      </c>
      <c r="C541" s="2" t="s">
        <v>461</v>
      </c>
      <c r="D541" s="4">
        <v>17</v>
      </c>
      <c r="E541" s="4">
        <v>17</v>
      </c>
      <c r="F541" s="4">
        <v>0</v>
      </c>
    </row>
    <row r="542" spans="1:6" x14ac:dyDescent="0.35">
      <c r="A542" s="2">
        <v>1401400018</v>
      </c>
      <c r="B542" s="6" t="s">
        <v>936</v>
      </c>
      <c r="C542" s="2" t="s">
        <v>461</v>
      </c>
      <c r="D542" s="4">
        <v>17</v>
      </c>
      <c r="E542" s="4">
        <v>17</v>
      </c>
      <c r="F542" s="4">
        <v>0</v>
      </c>
    </row>
    <row r="543" spans="1:6" x14ac:dyDescent="0.35">
      <c r="A543" s="2">
        <v>1401400019</v>
      </c>
      <c r="B543" s="6" t="s">
        <v>937</v>
      </c>
      <c r="C543" s="2" t="s">
        <v>461</v>
      </c>
      <c r="D543" s="4">
        <v>17</v>
      </c>
      <c r="E543" s="4">
        <v>17</v>
      </c>
      <c r="F543" s="4">
        <v>0</v>
      </c>
    </row>
    <row r="544" spans="1:6" x14ac:dyDescent="0.35">
      <c r="A544" s="2">
        <v>1401400020</v>
      </c>
      <c r="B544" s="6" t="s">
        <v>938</v>
      </c>
      <c r="C544" s="2" t="s">
        <v>461</v>
      </c>
      <c r="D544" s="4">
        <v>17</v>
      </c>
      <c r="E544" s="4">
        <v>17</v>
      </c>
      <c r="F544" s="4">
        <v>0</v>
      </c>
    </row>
    <row r="545" spans="1:6" x14ac:dyDescent="0.35">
      <c r="A545" s="2">
        <v>1401400022</v>
      </c>
      <c r="B545" s="6" t="s">
        <v>939</v>
      </c>
      <c r="C545" s="2" t="s">
        <v>461</v>
      </c>
      <c r="D545" s="4">
        <v>296</v>
      </c>
      <c r="E545" s="4">
        <v>296</v>
      </c>
      <c r="F545" s="4">
        <v>0</v>
      </c>
    </row>
    <row r="546" spans="1:6" x14ac:dyDescent="0.35">
      <c r="A546" s="2">
        <v>1401400023</v>
      </c>
      <c r="B546" s="6" t="s">
        <v>940</v>
      </c>
      <c r="C546" s="2" t="s">
        <v>461</v>
      </c>
      <c r="D546" s="4">
        <v>100.05</v>
      </c>
      <c r="E546" s="4">
        <v>100.05</v>
      </c>
      <c r="F546" s="4">
        <v>0</v>
      </c>
    </row>
    <row r="547" spans="1:6" x14ac:dyDescent="0.35">
      <c r="A547" s="2">
        <v>1401400024</v>
      </c>
      <c r="B547" s="6" t="s">
        <v>222</v>
      </c>
      <c r="C547" s="2" t="s">
        <v>461</v>
      </c>
      <c r="D547" s="4">
        <v>17</v>
      </c>
      <c r="E547" s="4">
        <v>17</v>
      </c>
      <c r="F547" s="4">
        <v>0</v>
      </c>
    </row>
    <row r="548" spans="1:6" x14ac:dyDescent="0.35">
      <c r="A548" s="2">
        <v>1401400025</v>
      </c>
      <c r="B548" s="6" t="s">
        <v>941</v>
      </c>
      <c r="C548" s="2" t="s">
        <v>461</v>
      </c>
      <c r="D548" s="4">
        <v>57.5</v>
      </c>
      <c r="E548" s="4">
        <v>57.5</v>
      </c>
      <c r="F548" s="4">
        <v>0</v>
      </c>
    </row>
    <row r="549" spans="1:6" x14ac:dyDescent="0.35">
      <c r="A549" s="2">
        <v>1401400026</v>
      </c>
      <c r="B549" s="6" t="s">
        <v>942</v>
      </c>
      <c r="C549" s="2" t="s">
        <v>461</v>
      </c>
      <c r="D549" s="4">
        <v>143.75</v>
      </c>
      <c r="E549" s="4">
        <v>143.75</v>
      </c>
      <c r="F549" s="4">
        <v>0</v>
      </c>
    </row>
    <row r="550" spans="1:6" x14ac:dyDescent="0.35">
      <c r="A550" s="2">
        <v>1401400027</v>
      </c>
      <c r="B550" s="6" t="s">
        <v>943</v>
      </c>
      <c r="C550" s="2" t="s">
        <v>461</v>
      </c>
      <c r="D550" s="4">
        <v>201.25</v>
      </c>
      <c r="E550" s="4">
        <v>201.25</v>
      </c>
      <c r="F550" s="4">
        <v>0</v>
      </c>
    </row>
    <row r="551" spans="1:6" x14ac:dyDescent="0.35">
      <c r="A551" s="2">
        <v>1401400028</v>
      </c>
      <c r="B551" s="6" t="s">
        <v>220</v>
      </c>
      <c r="C551" s="2" t="s">
        <v>461</v>
      </c>
      <c r="D551" s="4">
        <v>17</v>
      </c>
      <c r="E551" s="4">
        <v>17</v>
      </c>
      <c r="F551" s="4">
        <v>0</v>
      </c>
    </row>
    <row r="552" spans="1:6" x14ac:dyDescent="0.35">
      <c r="A552" s="2">
        <v>1401401001</v>
      </c>
      <c r="B552" s="6" t="s">
        <v>944</v>
      </c>
      <c r="C552" s="2" t="s">
        <v>461</v>
      </c>
      <c r="D552" s="4">
        <v>4.2</v>
      </c>
      <c r="E552" s="4">
        <v>4.2</v>
      </c>
      <c r="F552" s="4">
        <v>0</v>
      </c>
    </row>
    <row r="553" spans="1:6" x14ac:dyDescent="0.35">
      <c r="A553" s="2">
        <v>1401560002</v>
      </c>
      <c r="B553" s="6" t="s">
        <v>945</v>
      </c>
      <c r="C553" s="2" t="s">
        <v>477</v>
      </c>
      <c r="D553" s="4">
        <v>8.8804650840000008</v>
      </c>
      <c r="E553" s="4">
        <v>8.1809904039999992</v>
      </c>
      <c r="F553" s="4">
        <v>0.69947468000000002</v>
      </c>
    </row>
    <row r="554" spans="1:6" x14ac:dyDescent="0.35">
      <c r="A554" s="2">
        <v>1401560005</v>
      </c>
      <c r="B554" s="6" t="s">
        <v>946</v>
      </c>
      <c r="C554" s="2" t="s">
        <v>461</v>
      </c>
      <c r="D554" s="4">
        <v>65</v>
      </c>
      <c r="E554" s="4">
        <v>65</v>
      </c>
      <c r="F554" s="4">
        <v>0</v>
      </c>
    </row>
    <row r="555" spans="1:6" x14ac:dyDescent="0.35">
      <c r="A555" s="2">
        <v>1401560006</v>
      </c>
      <c r="B555" s="6" t="s">
        <v>947</v>
      </c>
      <c r="C555" s="2" t="s">
        <v>461</v>
      </c>
      <c r="D555" s="4">
        <v>180.86937033999999</v>
      </c>
      <c r="E555" s="4">
        <v>156.89570639999999</v>
      </c>
      <c r="F555" s="4">
        <v>23.973663940000002</v>
      </c>
    </row>
    <row r="556" spans="1:6" x14ac:dyDescent="0.35">
      <c r="A556" s="2">
        <v>1401600008</v>
      </c>
      <c r="B556" s="6" t="s">
        <v>948</v>
      </c>
      <c r="C556" s="2" t="s">
        <v>461</v>
      </c>
      <c r="D556" s="4">
        <v>7622.3520339999995</v>
      </c>
      <c r="E556" s="4">
        <v>6612.03334</v>
      </c>
      <c r="F556" s="4">
        <v>1010.3186940000001</v>
      </c>
    </row>
    <row r="557" spans="1:6" x14ac:dyDescent="0.35">
      <c r="A557" s="2">
        <v>1401620001</v>
      </c>
      <c r="B557" s="6" t="s">
        <v>949</v>
      </c>
      <c r="C557" s="2" t="s">
        <v>461</v>
      </c>
      <c r="D557" s="4">
        <v>27.35</v>
      </c>
      <c r="E557" s="4">
        <v>27.35</v>
      </c>
      <c r="F557" s="4">
        <v>0</v>
      </c>
    </row>
    <row r="558" spans="1:6" x14ac:dyDescent="0.35">
      <c r="A558" s="2">
        <v>1401620002</v>
      </c>
      <c r="B558" s="6" t="s">
        <v>950</v>
      </c>
      <c r="C558" s="2" t="s">
        <v>432</v>
      </c>
      <c r="D558" s="4">
        <v>54</v>
      </c>
      <c r="E558" s="4">
        <v>54</v>
      </c>
      <c r="F558" s="4">
        <v>0</v>
      </c>
    </row>
    <row r="559" spans="1:6" x14ac:dyDescent="0.35">
      <c r="A559" s="2">
        <v>1401620003</v>
      </c>
      <c r="B559" s="6" t="s">
        <v>951</v>
      </c>
      <c r="C559" s="2" t="s">
        <v>432</v>
      </c>
      <c r="D559" s="4">
        <v>34.5</v>
      </c>
      <c r="E559" s="4">
        <v>34.5</v>
      </c>
      <c r="F559" s="4">
        <v>0</v>
      </c>
    </row>
    <row r="560" spans="1:6" x14ac:dyDescent="0.35">
      <c r="A560" s="2">
        <v>1401620004</v>
      </c>
      <c r="B560" s="6" t="s">
        <v>952</v>
      </c>
      <c r="C560" s="2" t="s">
        <v>461</v>
      </c>
      <c r="D560" s="4">
        <v>14.3</v>
      </c>
      <c r="E560" s="4">
        <v>14.3</v>
      </c>
      <c r="F560" s="4">
        <v>0</v>
      </c>
    </row>
    <row r="561" spans="1:6" x14ac:dyDescent="0.35">
      <c r="A561" s="2">
        <v>1401621001</v>
      </c>
      <c r="B561" s="6" t="s">
        <v>416</v>
      </c>
      <c r="C561" s="2" t="s">
        <v>461</v>
      </c>
      <c r="D561" s="4">
        <v>21700</v>
      </c>
      <c r="E561" s="4">
        <v>21700</v>
      </c>
      <c r="F561" s="4">
        <v>0</v>
      </c>
    </row>
    <row r="562" spans="1:6" x14ac:dyDescent="0.35">
      <c r="A562" s="2">
        <v>1401901003</v>
      </c>
      <c r="B562" s="6" t="s">
        <v>346</v>
      </c>
      <c r="C562" s="2" t="s">
        <v>461</v>
      </c>
      <c r="D562" s="4">
        <v>0.35</v>
      </c>
      <c r="E562" s="4">
        <v>0.35</v>
      </c>
      <c r="F562" s="4">
        <v>0</v>
      </c>
    </row>
    <row r="563" spans="1:6" x14ac:dyDescent="0.35">
      <c r="A563" s="2">
        <v>1401901007</v>
      </c>
      <c r="B563" s="6" t="s">
        <v>953</v>
      </c>
      <c r="C563" s="2" t="s">
        <v>461</v>
      </c>
      <c r="D563" s="4">
        <v>0.49</v>
      </c>
      <c r="E563" s="4">
        <v>0.49</v>
      </c>
      <c r="F563" s="4">
        <v>0</v>
      </c>
    </row>
    <row r="564" spans="1:6" x14ac:dyDescent="0.35">
      <c r="A564" s="2">
        <v>1401901009</v>
      </c>
      <c r="B564" s="6" t="s">
        <v>954</v>
      </c>
      <c r="C564" s="2" t="s">
        <v>461</v>
      </c>
      <c r="D564" s="4">
        <v>1</v>
      </c>
      <c r="E564" s="4">
        <v>1</v>
      </c>
      <c r="F564" s="4">
        <v>0</v>
      </c>
    </row>
    <row r="565" spans="1:6" x14ac:dyDescent="0.35">
      <c r="A565" s="2">
        <v>1401901010</v>
      </c>
      <c r="B565" s="6" t="s">
        <v>955</v>
      </c>
      <c r="C565" s="2" t="s">
        <v>461</v>
      </c>
      <c r="D565" s="4">
        <v>477</v>
      </c>
      <c r="E565" s="4">
        <v>477</v>
      </c>
      <c r="F565" s="4">
        <v>0</v>
      </c>
    </row>
    <row r="566" spans="1:6" x14ac:dyDescent="0.35">
      <c r="A566" s="2">
        <v>1401901011</v>
      </c>
      <c r="B566" s="6" t="s">
        <v>956</v>
      </c>
      <c r="C566" s="2" t="s">
        <v>461</v>
      </c>
      <c r="D566" s="4">
        <v>0.64</v>
      </c>
      <c r="E566" s="4">
        <v>0.64</v>
      </c>
      <c r="F566" s="4">
        <v>0</v>
      </c>
    </row>
    <row r="567" spans="1:6" x14ac:dyDescent="0.35">
      <c r="A567" s="2">
        <v>1401901012</v>
      </c>
      <c r="B567" s="6" t="s">
        <v>957</v>
      </c>
      <c r="C567" s="2" t="s">
        <v>461</v>
      </c>
      <c r="D567" s="4">
        <v>360</v>
      </c>
      <c r="E567" s="4">
        <v>360</v>
      </c>
      <c r="F567" s="4">
        <v>0</v>
      </c>
    </row>
    <row r="568" spans="1:6" x14ac:dyDescent="0.35">
      <c r="A568" s="2">
        <v>1401902030</v>
      </c>
      <c r="B568" s="6" t="s">
        <v>192</v>
      </c>
      <c r="C568" s="2" t="s">
        <v>461</v>
      </c>
      <c r="D568" s="4">
        <v>4.8499999999999996</v>
      </c>
      <c r="E568" s="4">
        <v>4.8499999999999996</v>
      </c>
      <c r="F568" s="4">
        <v>0</v>
      </c>
    </row>
    <row r="569" spans="1:6" x14ac:dyDescent="0.35">
      <c r="A569" s="2">
        <v>1401902031</v>
      </c>
      <c r="B569" s="6" t="s">
        <v>194</v>
      </c>
      <c r="C569" s="2" t="s">
        <v>461</v>
      </c>
      <c r="D569" s="4">
        <v>5.25</v>
      </c>
      <c r="E569" s="4">
        <v>5.25</v>
      </c>
      <c r="F569" s="4">
        <v>0</v>
      </c>
    </row>
    <row r="570" spans="1:6" x14ac:dyDescent="0.35">
      <c r="A570" s="2">
        <v>1401902032</v>
      </c>
      <c r="B570" s="6" t="s">
        <v>198</v>
      </c>
      <c r="C570" s="2" t="s">
        <v>461</v>
      </c>
      <c r="D570" s="4">
        <v>6.54</v>
      </c>
      <c r="E570" s="4">
        <v>6.54</v>
      </c>
      <c r="F570" s="4">
        <v>0</v>
      </c>
    </row>
    <row r="571" spans="1:6" x14ac:dyDescent="0.35">
      <c r="A571" s="2">
        <v>1401902033</v>
      </c>
      <c r="B571" s="6" t="s">
        <v>200</v>
      </c>
      <c r="C571" s="2" t="s">
        <v>461</v>
      </c>
      <c r="D571" s="4">
        <v>7.08</v>
      </c>
      <c r="E571" s="4">
        <v>7.08</v>
      </c>
      <c r="F571" s="4">
        <v>0</v>
      </c>
    </row>
    <row r="572" spans="1:6" x14ac:dyDescent="0.35">
      <c r="A572" s="2">
        <v>1401902034</v>
      </c>
      <c r="B572" s="6" t="s">
        <v>188</v>
      </c>
      <c r="C572" s="2" t="s">
        <v>461</v>
      </c>
      <c r="D572" s="4">
        <v>10.17</v>
      </c>
      <c r="E572" s="4">
        <v>10.17</v>
      </c>
      <c r="F572" s="4">
        <v>0</v>
      </c>
    </row>
    <row r="573" spans="1:6" x14ac:dyDescent="0.35">
      <c r="A573" s="2">
        <v>1401902036</v>
      </c>
      <c r="B573" s="6" t="s">
        <v>190</v>
      </c>
      <c r="C573" s="2" t="s">
        <v>461</v>
      </c>
      <c r="D573" s="4">
        <v>4.3899999999999997</v>
      </c>
      <c r="E573" s="4">
        <v>4.3899999999999997</v>
      </c>
      <c r="F573" s="4">
        <v>0</v>
      </c>
    </row>
    <row r="574" spans="1:6" x14ac:dyDescent="0.35">
      <c r="A574" s="2">
        <v>1401902037</v>
      </c>
      <c r="B574" s="6" t="s">
        <v>958</v>
      </c>
      <c r="C574" s="2" t="s">
        <v>461</v>
      </c>
      <c r="D574" s="4">
        <v>19.55</v>
      </c>
      <c r="E574" s="4">
        <v>19.55</v>
      </c>
      <c r="F574" s="4">
        <v>0</v>
      </c>
    </row>
    <row r="575" spans="1:6" x14ac:dyDescent="0.35">
      <c r="A575" s="2">
        <v>1401902040</v>
      </c>
      <c r="B575" s="6" t="s">
        <v>959</v>
      </c>
      <c r="C575" s="2" t="s">
        <v>960</v>
      </c>
      <c r="D575" s="4">
        <v>86.4</v>
      </c>
      <c r="E575" s="4">
        <v>86.4</v>
      </c>
      <c r="F575" s="4">
        <v>0</v>
      </c>
    </row>
    <row r="576" spans="1:6" x14ac:dyDescent="0.35">
      <c r="A576" s="2">
        <v>1401902041</v>
      </c>
      <c r="B576" s="6" t="s">
        <v>961</v>
      </c>
      <c r="C576" s="2" t="s">
        <v>461</v>
      </c>
      <c r="D576" s="4">
        <v>12</v>
      </c>
      <c r="E576" s="4">
        <v>12</v>
      </c>
      <c r="F576" s="4">
        <v>0</v>
      </c>
    </row>
    <row r="577" spans="1:6" x14ac:dyDescent="0.35">
      <c r="A577" s="2">
        <v>1401902042</v>
      </c>
      <c r="B577" s="6" t="s">
        <v>962</v>
      </c>
      <c r="C577" s="2" t="s">
        <v>461</v>
      </c>
      <c r="D577" s="4">
        <v>3.75</v>
      </c>
      <c r="E577" s="4">
        <v>3.75</v>
      </c>
      <c r="F577" s="4">
        <v>0</v>
      </c>
    </row>
    <row r="578" spans="1:6" x14ac:dyDescent="0.35">
      <c r="A578" s="2">
        <v>1401902043</v>
      </c>
      <c r="B578" s="6" t="s">
        <v>963</v>
      </c>
      <c r="C578" s="2" t="s">
        <v>461</v>
      </c>
      <c r="D578" s="4">
        <v>18.5</v>
      </c>
      <c r="E578" s="4">
        <v>18.5</v>
      </c>
      <c r="F578" s="4">
        <v>0</v>
      </c>
    </row>
    <row r="579" spans="1:6" x14ac:dyDescent="0.35">
      <c r="A579" s="2">
        <v>1401902044</v>
      </c>
      <c r="B579" s="6" t="s">
        <v>964</v>
      </c>
      <c r="C579" s="2" t="s">
        <v>461</v>
      </c>
      <c r="D579" s="4">
        <v>1</v>
      </c>
      <c r="E579" s="4">
        <v>1</v>
      </c>
      <c r="F579" s="4">
        <v>0</v>
      </c>
    </row>
    <row r="580" spans="1:6" x14ac:dyDescent="0.35">
      <c r="A580" s="2">
        <v>1401904003</v>
      </c>
      <c r="B580" s="6" t="s">
        <v>965</v>
      </c>
      <c r="C580" s="2" t="s">
        <v>461</v>
      </c>
      <c r="D580" s="4">
        <v>3.2383999999999999</v>
      </c>
      <c r="E580" s="4">
        <v>2.944</v>
      </c>
      <c r="F580" s="4">
        <v>0.2944</v>
      </c>
    </row>
    <row r="581" spans="1:6" x14ac:dyDescent="0.35">
      <c r="A581" s="2">
        <v>1401904012</v>
      </c>
      <c r="B581" s="6" t="s">
        <v>966</v>
      </c>
      <c r="C581" s="2" t="s">
        <v>461</v>
      </c>
      <c r="D581" s="4">
        <v>12.5</v>
      </c>
      <c r="E581" s="4">
        <v>12.5</v>
      </c>
      <c r="F581" s="4">
        <v>0</v>
      </c>
    </row>
    <row r="582" spans="1:6" x14ac:dyDescent="0.35">
      <c r="A582" s="2">
        <v>1401904013</v>
      </c>
      <c r="B582" s="6" t="s">
        <v>967</v>
      </c>
      <c r="C582" s="2" t="s">
        <v>461</v>
      </c>
      <c r="D582" s="4">
        <v>32</v>
      </c>
      <c r="E582" s="4">
        <v>32</v>
      </c>
      <c r="F582" s="4">
        <v>0</v>
      </c>
    </row>
    <row r="583" spans="1:6" x14ac:dyDescent="0.35">
      <c r="A583" s="2">
        <v>1401904014</v>
      </c>
      <c r="B583" s="6" t="s">
        <v>968</v>
      </c>
      <c r="C583" s="2" t="s">
        <v>461</v>
      </c>
      <c r="D583" s="4">
        <v>10.5</v>
      </c>
      <c r="E583" s="4">
        <v>10.5</v>
      </c>
      <c r="F583" s="4">
        <v>0</v>
      </c>
    </row>
    <row r="584" spans="1:6" x14ac:dyDescent="0.35">
      <c r="A584" s="2">
        <v>1401904016</v>
      </c>
      <c r="B584" s="6" t="s">
        <v>969</v>
      </c>
      <c r="C584" s="2" t="s">
        <v>461</v>
      </c>
      <c r="D584" s="4">
        <v>23.5</v>
      </c>
      <c r="E584" s="4">
        <v>23.5</v>
      </c>
      <c r="F584" s="4">
        <v>0</v>
      </c>
    </row>
    <row r="585" spans="1:6" x14ac:dyDescent="0.35">
      <c r="A585" s="2">
        <v>1401904017</v>
      </c>
      <c r="B585" s="6" t="s">
        <v>327</v>
      </c>
      <c r="C585" s="2" t="s">
        <v>461</v>
      </c>
      <c r="D585" s="4">
        <v>3.3654129020000001</v>
      </c>
      <c r="E585" s="4">
        <v>3.205155145</v>
      </c>
      <c r="F585" s="4">
        <v>0.160257757</v>
      </c>
    </row>
    <row r="586" spans="1:6" x14ac:dyDescent="0.35">
      <c r="A586" s="2">
        <v>1401904018</v>
      </c>
      <c r="B586" s="6" t="s">
        <v>970</v>
      </c>
      <c r="C586" s="2" t="s">
        <v>461</v>
      </c>
      <c r="D586" s="4">
        <v>14.9</v>
      </c>
      <c r="E586" s="4">
        <v>14.9</v>
      </c>
      <c r="F586" s="4">
        <v>0</v>
      </c>
    </row>
    <row r="587" spans="1:6" x14ac:dyDescent="0.35">
      <c r="A587" s="2">
        <v>1401904019</v>
      </c>
      <c r="B587" s="6" t="s">
        <v>971</v>
      </c>
      <c r="C587" s="2" t="s">
        <v>461</v>
      </c>
      <c r="D587" s="4">
        <v>2.8723200000000002</v>
      </c>
      <c r="E587" s="4">
        <v>1.536</v>
      </c>
      <c r="F587" s="4">
        <v>1.33632</v>
      </c>
    </row>
    <row r="588" spans="1:6" x14ac:dyDescent="0.35">
      <c r="A588" s="2">
        <v>1401905002</v>
      </c>
      <c r="B588" s="6" t="s">
        <v>972</v>
      </c>
      <c r="C588" s="2" t="s">
        <v>461</v>
      </c>
      <c r="D588" s="4">
        <v>19.09</v>
      </c>
      <c r="E588" s="4">
        <v>19.09</v>
      </c>
      <c r="F588" s="4">
        <v>0</v>
      </c>
    </row>
    <row r="589" spans="1:6" x14ac:dyDescent="0.35">
      <c r="A589" s="2">
        <v>1401905005</v>
      </c>
      <c r="B589" s="6" t="s">
        <v>973</v>
      </c>
      <c r="C589" s="2" t="s">
        <v>461</v>
      </c>
      <c r="D589" s="4">
        <v>19.91</v>
      </c>
      <c r="E589" s="4">
        <v>19.91</v>
      </c>
      <c r="F589" s="4">
        <v>0</v>
      </c>
    </row>
    <row r="590" spans="1:6" x14ac:dyDescent="0.35">
      <c r="A590" s="2">
        <v>1401905006</v>
      </c>
      <c r="B590" s="6" t="s">
        <v>974</v>
      </c>
      <c r="C590" s="2" t="s">
        <v>461</v>
      </c>
      <c r="D590" s="4">
        <v>11.32</v>
      </c>
      <c r="E590" s="4">
        <v>11.32</v>
      </c>
      <c r="F590" s="4">
        <v>0</v>
      </c>
    </row>
    <row r="591" spans="1:6" x14ac:dyDescent="0.35">
      <c r="A591" s="2">
        <v>1401905007</v>
      </c>
      <c r="B591" s="6" t="s">
        <v>975</v>
      </c>
      <c r="C591" s="2" t="s">
        <v>461</v>
      </c>
      <c r="D591" s="4">
        <v>8.82</v>
      </c>
      <c r="E591" s="4">
        <v>8.82</v>
      </c>
      <c r="F591" s="4">
        <v>0</v>
      </c>
    </row>
    <row r="592" spans="1:6" x14ac:dyDescent="0.35">
      <c r="A592" s="2">
        <v>1401906001</v>
      </c>
      <c r="B592" s="6" t="s">
        <v>976</v>
      </c>
      <c r="C592" s="2" t="s">
        <v>461</v>
      </c>
      <c r="D592" s="4">
        <v>2.5</v>
      </c>
      <c r="E592" s="4">
        <v>2.5</v>
      </c>
      <c r="F592" s="4">
        <v>0</v>
      </c>
    </row>
    <row r="593" spans="1:6" x14ac:dyDescent="0.35">
      <c r="A593" s="2">
        <v>1401906002</v>
      </c>
      <c r="B593" s="6" t="s">
        <v>977</v>
      </c>
      <c r="C593" s="2" t="s">
        <v>461</v>
      </c>
      <c r="D593" s="4">
        <v>1.99</v>
      </c>
      <c r="E593" s="4">
        <v>1.99</v>
      </c>
      <c r="F593" s="4">
        <v>0</v>
      </c>
    </row>
    <row r="594" spans="1:6" x14ac:dyDescent="0.35">
      <c r="A594" s="2">
        <v>1401906003</v>
      </c>
      <c r="B594" s="6" t="s">
        <v>978</v>
      </c>
      <c r="C594" s="2" t="s">
        <v>461</v>
      </c>
      <c r="D594" s="4">
        <v>3.21</v>
      </c>
      <c r="E594" s="4">
        <v>3.21</v>
      </c>
      <c r="F594" s="4">
        <v>0</v>
      </c>
    </row>
    <row r="595" spans="1:6" x14ac:dyDescent="0.35">
      <c r="A595" s="2">
        <v>1401906008</v>
      </c>
      <c r="B595" s="6" t="s">
        <v>979</v>
      </c>
      <c r="C595" s="2" t="s">
        <v>461</v>
      </c>
      <c r="D595" s="4">
        <v>0.65</v>
      </c>
      <c r="E595" s="4">
        <v>0.65</v>
      </c>
      <c r="F595" s="4">
        <v>0</v>
      </c>
    </row>
    <row r="596" spans="1:6" x14ac:dyDescent="0.35">
      <c r="A596" s="2">
        <v>1401906011</v>
      </c>
      <c r="B596" s="6" t="s">
        <v>980</v>
      </c>
      <c r="C596" s="2" t="s">
        <v>461</v>
      </c>
      <c r="D596" s="4">
        <v>2.94</v>
      </c>
      <c r="E596" s="4">
        <v>2.94</v>
      </c>
      <c r="F596" s="4">
        <v>0</v>
      </c>
    </row>
    <row r="597" spans="1:6" x14ac:dyDescent="0.35">
      <c r="A597" s="2">
        <v>1401907001</v>
      </c>
      <c r="B597" s="6" t="s">
        <v>981</v>
      </c>
      <c r="C597" s="2" t="s">
        <v>461</v>
      </c>
      <c r="D597" s="4">
        <v>0.92</v>
      </c>
      <c r="E597" s="4">
        <v>0.92</v>
      </c>
      <c r="F597" s="4">
        <v>0</v>
      </c>
    </row>
    <row r="598" spans="1:6" x14ac:dyDescent="0.35">
      <c r="A598" s="2">
        <v>1401907002</v>
      </c>
      <c r="B598" s="6" t="s">
        <v>982</v>
      </c>
      <c r="C598" s="2" t="s">
        <v>461</v>
      </c>
      <c r="D598" s="4">
        <v>0.5</v>
      </c>
      <c r="E598" s="4">
        <v>0.5</v>
      </c>
      <c r="F598" s="4">
        <v>0</v>
      </c>
    </row>
    <row r="599" spans="1:6" x14ac:dyDescent="0.35">
      <c r="A599" s="2">
        <v>1401907004</v>
      </c>
      <c r="B599" s="6" t="s">
        <v>983</v>
      </c>
      <c r="C599" s="2" t="s">
        <v>461</v>
      </c>
      <c r="D599" s="4">
        <v>0.92</v>
      </c>
      <c r="E599" s="4">
        <v>0.92</v>
      </c>
      <c r="F599" s="4">
        <v>0</v>
      </c>
    </row>
    <row r="600" spans="1:6" x14ac:dyDescent="0.35">
      <c r="A600" s="2">
        <v>1401907005</v>
      </c>
      <c r="B600" s="6" t="s">
        <v>984</v>
      </c>
      <c r="C600" s="2" t="s">
        <v>461</v>
      </c>
      <c r="D600" s="4">
        <v>0.85</v>
      </c>
      <c r="E600" s="4">
        <v>0.85</v>
      </c>
      <c r="F600" s="4">
        <v>0</v>
      </c>
    </row>
    <row r="601" spans="1:6" x14ac:dyDescent="0.35">
      <c r="A601" s="2">
        <v>1401907006</v>
      </c>
      <c r="B601" s="6" t="s">
        <v>985</v>
      </c>
      <c r="C601" s="2" t="s">
        <v>461</v>
      </c>
      <c r="D601" s="4">
        <v>0.5</v>
      </c>
      <c r="E601" s="4">
        <v>0.5</v>
      </c>
      <c r="F601" s="4">
        <v>0</v>
      </c>
    </row>
    <row r="602" spans="1:6" x14ac:dyDescent="0.35">
      <c r="A602" s="2">
        <v>1401907007</v>
      </c>
      <c r="B602" s="6" t="s">
        <v>986</v>
      </c>
      <c r="C602" s="2" t="s">
        <v>461</v>
      </c>
      <c r="D602" s="4">
        <v>0.92</v>
      </c>
      <c r="E602" s="4">
        <v>0.92</v>
      </c>
      <c r="F602" s="4">
        <v>0</v>
      </c>
    </row>
    <row r="603" spans="1:6" x14ac:dyDescent="0.35">
      <c r="A603" s="2">
        <v>1401907008</v>
      </c>
      <c r="B603" s="6" t="s">
        <v>987</v>
      </c>
      <c r="C603" s="2" t="s">
        <v>461</v>
      </c>
      <c r="D603" s="4">
        <v>0.92</v>
      </c>
      <c r="E603" s="4">
        <v>0.92</v>
      </c>
      <c r="F603" s="4">
        <v>0</v>
      </c>
    </row>
    <row r="604" spans="1:6" x14ac:dyDescent="0.35">
      <c r="A604" s="2">
        <v>1401907009</v>
      </c>
      <c r="B604" s="6" t="s">
        <v>988</v>
      </c>
      <c r="C604" s="2" t="s">
        <v>461</v>
      </c>
      <c r="D604" s="4">
        <v>0.92</v>
      </c>
      <c r="E604" s="4">
        <v>0.92</v>
      </c>
      <c r="F604" s="4">
        <v>0</v>
      </c>
    </row>
    <row r="605" spans="1:6" x14ac:dyDescent="0.35">
      <c r="A605" s="2">
        <v>1401907010</v>
      </c>
      <c r="B605" s="6" t="s">
        <v>989</v>
      </c>
      <c r="C605" s="2" t="s">
        <v>461</v>
      </c>
      <c r="D605" s="4">
        <v>0.5</v>
      </c>
      <c r="E605" s="4">
        <v>0.5</v>
      </c>
      <c r="F605" s="4">
        <v>0</v>
      </c>
    </row>
    <row r="606" spans="1:6" x14ac:dyDescent="0.35">
      <c r="A606" s="2">
        <v>1401907011</v>
      </c>
      <c r="B606" s="6" t="s">
        <v>990</v>
      </c>
      <c r="C606" s="2" t="s">
        <v>461</v>
      </c>
      <c r="D606" s="4">
        <v>0.5</v>
      </c>
      <c r="E606" s="4">
        <v>0.5</v>
      </c>
      <c r="F606" s="4">
        <v>0</v>
      </c>
    </row>
    <row r="607" spans="1:6" x14ac:dyDescent="0.35">
      <c r="A607" s="2">
        <v>1401907012</v>
      </c>
      <c r="B607" s="6" t="s">
        <v>991</v>
      </c>
      <c r="C607" s="2" t="s">
        <v>461</v>
      </c>
      <c r="D607" s="4">
        <v>0.92</v>
      </c>
      <c r="E607" s="4">
        <v>0.92</v>
      </c>
      <c r="F607" s="4">
        <v>0</v>
      </c>
    </row>
    <row r="608" spans="1:6" x14ac:dyDescent="0.35">
      <c r="A608" s="2">
        <v>1401907013</v>
      </c>
      <c r="B608" s="6" t="s">
        <v>992</v>
      </c>
      <c r="C608" s="2" t="s">
        <v>461</v>
      </c>
      <c r="D608" s="4">
        <v>0.5</v>
      </c>
      <c r="E608" s="4">
        <v>0.5</v>
      </c>
      <c r="F608" s="4">
        <v>0</v>
      </c>
    </row>
    <row r="609" spans="1:6" x14ac:dyDescent="0.35">
      <c r="A609" s="2">
        <v>1401907015</v>
      </c>
      <c r="B609" s="6" t="s">
        <v>993</v>
      </c>
      <c r="C609" s="2" t="s">
        <v>461</v>
      </c>
      <c r="D609" s="4">
        <v>0.65</v>
      </c>
      <c r="E609" s="4">
        <v>0.65</v>
      </c>
      <c r="F609" s="4">
        <v>0</v>
      </c>
    </row>
    <row r="610" spans="1:6" x14ac:dyDescent="0.35">
      <c r="A610" s="2">
        <v>1401907016</v>
      </c>
      <c r="B610" s="6" t="s">
        <v>994</v>
      </c>
      <c r="C610" s="2" t="s">
        <v>461</v>
      </c>
      <c r="D610" s="4">
        <v>0.5</v>
      </c>
      <c r="E610" s="4">
        <v>0.5</v>
      </c>
      <c r="F610" s="4">
        <v>0</v>
      </c>
    </row>
    <row r="611" spans="1:6" x14ac:dyDescent="0.35">
      <c r="A611" s="2">
        <v>1401907017</v>
      </c>
      <c r="B611" s="6" t="s">
        <v>995</v>
      </c>
      <c r="C611" s="2" t="s">
        <v>461</v>
      </c>
      <c r="D611" s="4">
        <v>0.5</v>
      </c>
      <c r="E611" s="4">
        <v>0.5</v>
      </c>
      <c r="F611" s="4">
        <v>0</v>
      </c>
    </row>
    <row r="612" spans="1:6" x14ac:dyDescent="0.35">
      <c r="A612" s="2">
        <v>1401907018</v>
      </c>
      <c r="B612" s="6" t="s">
        <v>996</v>
      </c>
      <c r="C612" s="2" t="s">
        <v>461</v>
      </c>
      <c r="D612" s="4">
        <v>0.5</v>
      </c>
      <c r="E612" s="4">
        <v>0.5</v>
      </c>
      <c r="F612" s="4">
        <v>0</v>
      </c>
    </row>
    <row r="613" spans="1:6" x14ac:dyDescent="0.35">
      <c r="A613" s="2">
        <v>1401907019</v>
      </c>
      <c r="B613" s="6" t="s">
        <v>997</v>
      </c>
      <c r="C613" s="2" t="s">
        <v>461</v>
      </c>
      <c r="D613" s="4">
        <v>0.5</v>
      </c>
      <c r="E613" s="4">
        <v>0.5</v>
      </c>
      <c r="F613" s="4">
        <v>0</v>
      </c>
    </row>
    <row r="614" spans="1:6" x14ac:dyDescent="0.35">
      <c r="A614" s="2">
        <v>1401907020</v>
      </c>
      <c r="B614" s="6" t="s">
        <v>998</v>
      </c>
      <c r="C614" s="2" t="s">
        <v>461</v>
      </c>
      <c r="D614" s="4">
        <v>0.5</v>
      </c>
      <c r="E614" s="4">
        <v>0.5</v>
      </c>
      <c r="F614" s="4">
        <v>0</v>
      </c>
    </row>
    <row r="615" spans="1:6" x14ac:dyDescent="0.35">
      <c r="A615" s="2">
        <v>1401907021</v>
      </c>
      <c r="B615" s="6" t="s">
        <v>999</v>
      </c>
      <c r="C615" s="2" t="s">
        <v>461</v>
      </c>
      <c r="D615" s="4">
        <v>0.5</v>
      </c>
      <c r="E615" s="4">
        <v>0.5</v>
      </c>
      <c r="F615" s="4">
        <v>0</v>
      </c>
    </row>
    <row r="616" spans="1:6" x14ac:dyDescent="0.35">
      <c r="A616" s="2">
        <v>1401907022</v>
      </c>
      <c r="B616" s="6" t="s">
        <v>1000</v>
      </c>
      <c r="C616" s="2" t="s">
        <v>461</v>
      </c>
      <c r="D616" s="4">
        <v>0.65</v>
      </c>
      <c r="E616" s="4">
        <v>0.65</v>
      </c>
      <c r="F616" s="4">
        <v>0</v>
      </c>
    </row>
    <row r="617" spans="1:6" x14ac:dyDescent="0.35">
      <c r="A617" s="2">
        <v>1401907023</v>
      </c>
      <c r="B617" s="6" t="s">
        <v>1001</v>
      </c>
      <c r="C617" s="2" t="s">
        <v>461</v>
      </c>
      <c r="D617" s="4">
        <v>0.68</v>
      </c>
      <c r="E617" s="4">
        <v>0.68</v>
      </c>
    </row>
    <row r="618" spans="1:6" x14ac:dyDescent="0.35">
      <c r="A618" s="2">
        <v>1401990002</v>
      </c>
      <c r="B618" s="6" t="s">
        <v>1002</v>
      </c>
      <c r="C618" s="2" t="s">
        <v>461</v>
      </c>
      <c r="D618" s="4">
        <v>7.2</v>
      </c>
      <c r="E618" s="4">
        <v>7.2</v>
      </c>
      <c r="F618" s="4">
        <v>0</v>
      </c>
    </row>
    <row r="619" spans="1:6" x14ac:dyDescent="0.35">
      <c r="A619" s="2">
        <v>1401990003</v>
      </c>
      <c r="B619" s="6" t="s">
        <v>249</v>
      </c>
      <c r="C619" s="2" t="s">
        <v>15</v>
      </c>
      <c r="D619" s="4">
        <v>55</v>
      </c>
      <c r="E619" s="4">
        <v>55</v>
      </c>
      <c r="F619" s="4">
        <v>0</v>
      </c>
    </row>
    <row r="620" spans="1:6" x14ac:dyDescent="0.35">
      <c r="A620" s="2">
        <v>1401990005</v>
      </c>
      <c r="B620" s="6" t="s">
        <v>1003</v>
      </c>
      <c r="C620" s="2" t="s">
        <v>461</v>
      </c>
      <c r="D620" s="4">
        <v>0.21597</v>
      </c>
      <c r="E620" s="4">
        <v>0.21597</v>
      </c>
      <c r="F620" s="4">
        <v>0</v>
      </c>
    </row>
    <row r="621" spans="1:6" x14ac:dyDescent="0.35">
      <c r="A621" s="2">
        <v>1401990006</v>
      </c>
      <c r="B621" s="6" t="s">
        <v>1004</v>
      </c>
      <c r="C621" s="2" t="s">
        <v>461</v>
      </c>
      <c r="D621" s="4">
        <v>9.86</v>
      </c>
      <c r="E621" s="4">
        <v>9.86</v>
      </c>
      <c r="F621" s="4">
        <v>0</v>
      </c>
    </row>
    <row r="622" spans="1:6" x14ac:dyDescent="0.35">
      <c r="A622" s="2">
        <v>1401990007</v>
      </c>
      <c r="B622" s="6" t="s">
        <v>1005</v>
      </c>
      <c r="C622" s="2" t="s">
        <v>461</v>
      </c>
      <c r="D622" s="4">
        <v>0.21597</v>
      </c>
      <c r="E622" s="4">
        <v>0.21597</v>
      </c>
      <c r="F622" s="4">
        <v>0</v>
      </c>
    </row>
    <row r="623" spans="1:6" x14ac:dyDescent="0.35">
      <c r="A623" s="2">
        <v>1401990010</v>
      </c>
      <c r="B623" s="6" t="s">
        <v>1006</v>
      </c>
      <c r="C623" s="2" t="s">
        <v>461</v>
      </c>
      <c r="D623" s="4">
        <v>10.199999999999999</v>
      </c>
      <c r="E623" s="4">
        <v>10.199999999999999</v>
      </c>
      <c r="F623" s="4">
        <v>0</v>
      </c>
    </row>
    <row r="624" spans="1:6" x14ac:dyDescent="0.35">
      <c r="A624" s="2">
        <v>1401990011</v>
      </c>
      <c r="B624" s="6" t="s">
        <v>111</v>
      </c>
      <c r="C624" s="2" t="s">
        <v>461</v>
      </c>
      <c r="D624" s="4">
        <v>2.25</v>
      </c>
      <c r="E624" s="4">
        <v>2.25</v>
      </c>
      <c r="F624" s="4">
        <v>0</v>
      </c>
    </row>
    <row r="625" spans="1:6" x14ac:dyDescent="0.35">
      <c r="A625" s="2">
        <v>1401990015</v>
      </c>
      <c r="B625" s="6" t="s">
        <v>1007</v>
      </c>
      <c r="C625" s="2" t="s">
        <v>1008</v>
      </c>
      <c r="D625" s="4">
        <v>8.5</v>
      </c>
      <c r="E625" s="4">
        <v>8.5</v>
      </c>
      <c r="F625" s="4">
        <v>0</v>
      </c>
    </row>
    <row r="626" spans="1:6" x14ac:dyDescent="0.35">
      <c r="A626" s="2">
        <v>1401990016</v>
      </c>
      <c r="B626" s="6" t="s">
        <v>1009</v>
      </c>
      <c r="C626" s="2" t="s">
        <v>1008</v>
      </c>
      <c r="D626" s="4">
        <v>10</v>
      </c>
      <c r="E626" s="4">
        <v>10</v>
      </c>
      <c r="F626" s="4">
        <v>0</v>
      </c>
    </row>
    <row r="627" spans="1:6" x14ac:dyDescent="0.35">
      <c r="A627" s="2">
        <v>1401990017</v>
      </c>
      <c r="B627" s="6" t="s">
        <v>1010</v>
      </c>
      <c r="C627" s="2" t="s">
        <v>1008</v>
      </c>
      <c r="D627" s="4">
        <v>10</v>
      </c>
      <c r="E627" s="4">
        <v>10</v>
      </c>
      <c r="F627" s="4">
        <v>0</v>
      </c>
    </row>
    <row r="628" spans="1:6" x14ac:dyDescent="0.35">
      <c r="A628" s="2">
        <v>1401990021</v>
      </c>
      <c r="B628" s="6" t="s">
        <v>1011</v>
      </c>
      <c r="C628" s="2" t="s">
        <v>461</v>
      </c>
      <c r="D628" s="4">
        <v>204.61120589999999</v>
      </c>
      <c r="E628" s="4">
        <v>204.61120589999999</v>
      </c>
      <c r="F628" s="4">
        <v>0</v>
      </c>
    </row>
    <row r="629" spans="1:6" x14ac:dyDescent="0.35">
      <c r="A629" s="2">
        <v>1401990064</v>
      </c>
      <c r="B629" s="6" t="s">
        <v>56</v>
      </c>
      <c r="C629" s="2" t="s">
        <v>461</v>
      </c>
      <c r="D629" s="4">
        <v>3</v>
      </c>
      <c r="E629" s="4">
        <v>3</v>
      </c>
      <c r="F629" s="4">
        <v>0</v>
      </c>
    </row>
    <row r="630" spans="1:6" x14ac:dyDescent="0.35">
      <c r="A630" s="2">
        <v>1401990073</v>
      </c>
      <c r="B630" s="6" t="s">
        <v>1012</v>
      </c>
      <c r="C630" s="2" t="s">
        <v>461</v>
      </c>
      <c r="D630" s="4">
        <v>38</v>
      </c>
      <c r="E630" s="4">
        <v>38</v>
      </c>
      <c r="F630" s="4">
        <v>0</v>
      </c>
    </row>
    <row r="631" spans="1:6" x14ac:dyDescent="0.35">
      <c r="A631" s="2">
        <v>1401990095</v>
      </c>
      <c r="B631" s="6" t="s">
        <v>1013</v>
      </c>
      <c r="C631" s="2" t="s">
        <v>461</v>
      </c>
      <c r="D631" s="4">
        <v>402.37024580999997</v>
      </c>
      <c r="E631" s="4">
        <v>358.61875739999999</v>
      </c>
      <c r="F631" s="4">
        <v>43.75148841</v>
      </c>
    </row>
    <row r="632" spans="1:6" x14ac:dyDescent="0.35">
      <c r="A632" s="2">
        <v>1401990096</v>
      </c>
      <c r="B632" s="6" t="s">
        <v>206</v>
      </c>
      <c r="C632" s="2" t="s">
        <v>1014</v>
      </c>
      <c r="D632" s="4">
        <v>53.994534600000001</v>
      </c>
      <c r="E632" s="4">
        <v>45.449944950000003</v>
      </c>
      <c r="F632" s="4">
        <v>8.5445896500000007</v>
      </c>
    </row>
    <row r="633" spans="1:6" x14ac:dyDescent="0.35">
      <c r="A633" s="2">
        <v>1401990098</v>
      </c>
      <c r="B633" s="6" t="s">
        <v>1015</v>
      </c>
      <c r="C633" s="2" t="s">
        <v>461</v>
      </c>
      <c r="D633" s="4">
        <v>68.790000000000006</v>
      </c>
      <c r="E633" s="4">
        <v>68.790000000000006</v>
      </c>
      <c r="F633" s="4">
        <v>0</v>
      </c>
    </row>
    <row r="634" spans="1:6" x14ac:dyDescent="0.35">
      <c r="A634" s="2">
        <v>1401990099</v>
      </c>
      <c r="B634" s="6" t="s">
        <v>1016</v>
      </c>
      <c r="C634" s="2" t="s">
        <v>461</v>
      </c>
      <c r="D634" s="4">
        <v>2480</v>
      </c>
      <c r="E634" s="4">
        <v>2480</v>
      </c>
      <c r="F634" s="4">
        <v>0</v>
      </c>
    </row>
    <row r="635" spans="1:6" x14ac:dyDescent="0.35">
      <c r="A635" s="2">
        <v>1401990100</v>
      </c>
      <c r="B635" s="6" t="s">
        <v>1017</v>
      </c>
      <c r="C635" s="2" t="s">
        <v>461</v>
      </c>
      <c r="D635" s="4">
        <v>1450</v>
      </c>
      <c r="E635" s="4">
        <v>1450</v>
      </c>
      <c r="F635" s="4">
        <v>0</v>
      </c>
    </row>
    <row r="636" spans="1:6" x14ac:dyDescent="0.35">
      <c r="A636" s="2">
        <v>1401990101</v>
      </c>
      <c r="B636" s="6" t="s">
        <v>1018</v>
      </c>
      <c r="C636" s="2" t="s">
        <v>461</v>
      </c>
      <c r="D636" s="4">
        <v>1756.2008823000001</v>
      </c>
      <c r="E636" s="4">
        <v>1626.111928</v>
      </c>
      <c r="F636" s="4">
        <v>130.08895430000001</v>
      </c>
    </row>
    <row r="637" spans="1:6" x14ac:dyDescent="0.35">
      <c r="A637" s="2">
        <v>1401990102</v>
      </c>
      <c r="B637" s="6" t="s">
        <v>1019</v>
      </c>
      <c r="C637" s="2" t="s">
        <v>461</v>
      </c>
      <c r="D637" s="4">
        <v>1450</v>
      </c>
      <c r="E637" s="4">
        <v>1450</v>
      </c>
    </row>
    <row r="638" spans="1:6" x14ac:dyDescent="0.35">
      <c r="A638" s="2">
        <v>1401990103</v>
      </c>
      <c r="B638" s="6" t="s">
        <v>1020</v>
      </c>
      <c r="C638" s="2" t="s">
        <v>461</v>
      </c>
      <c r="D638" s="4">
        <v>1450</v>
      </c>
      <c r="E638" s="4">
        <v>1450</v>
      </c>
    </row>
    <row r="639" spans="1:6" x14ac:dyDescent="0.35">
      <c r="A639" s="2">
        <v>1405100001</v>
      </c>
      <c r="B639" s="6" t="s">
        <v>1021</v>
      </c>
      <c r="C639" s="2" t="s">
        <v>432</v>
      </c>
      <c r="D639" s="4">
        <v>70.739999999999995</v>
      </c>
      <c r="E639" s="4">
        <v>70.739999999999995</v>
      </c>
      <c r="F639" s="4">
        <v>0</v>
      </c>
    </row>
    <row r="640" spans="1:6" x14ac:dyDescent="0.35">
      <c r="A640" s="2">
        <v>1405100003</v>
      </c>
      <c r="B640" s="6" t="s">
        <v>1022</v>
      </c>
      <c r="C640" s="2" t="s">
        <v>461</v>
      </c>
      <c r="D640" s="4">
        <v>1.55</v>
      </c>
      <c r="E640" s="4">
        <v>1.55</v>
      </c>
      <c r="F640" s="4">
        <v>0</v>
      </c>
    </row>
    <row r="641" spans="1:6" x14ac:dyDescent="0.35">
      <c r="A641" s="2">
        <v>1405100004</v>
      </c>
      <c r="B641" s="6" t="s">
        <v>1023</v>
      </c>
      <c r="C641" s="2" t="s">
        <v>461</v>
      </c>
      <c r="D641" s="4">
        <v>1.55</v>
      </c>
      <c r="E641" s="4">
        <v>1.55</v>
      </c>
      <c r="F641" s="4">
        <v>0</v>
      </c>
    </row>
    <row r="642" spans="1:6" x14ac:dyDescent="0.35">
      <c r="A642" s="2">
        <v>1405100005</v>
      </c>
      <c r="B642" s="6" t="s">
        <v>1024</v>
      </c>
      <c r="C642" s="2" t="s">
        <v>461</v>
      </c>
      <c r="D642" s="4">
        <v>1.55</v>
      </c>
      <c r="E642" s="4">
        <v>1.55</v>
      </c>
      <c r="F642" s="4">
        <v>0</v>
      </c>
    </row>
    <row r="643" spans="1:6" x14ac:dyDescent="0.35">
      <c r="A643" s="2">
        <v>1405100006</v>
      </c>
      <c r="B643" s="6" t="s">
        <v>1025</v>
      </c>
      <c r="C643" s="2" t="s">
        <v>461</v>
      </c>
      <c r="D643" s="4">
        <v>1.55</v>
      </c>
      <c r="E643" s="4">
        <v>1.55</v>
      </c>
      <c r="F643" s="4">
        <v>0</v>
      </c>
    </row>
    <row r="644" spans="1:6" x14ac:dyDescent="0.35">
      <c r="A644" s="2">
        <v>1405100007</v>
      </c>
      <c r="B644" s="6" t="s">
        <v>1026</v>
      </c>
      <c r="C644" s="2" t="s">
        <v>1027</v>
      </c>
      <c r="D644" s="4">
        <v>99</v>
      </c>
      <c r="E644" s="4">
        <v>99</v>
      </c>
      <c r="F644" s="4">
        <v>0</v>
      </c>
    </row>
    <row r="645" spans="1:6" x14ac:dyDescent="0.35">
      <c r="A645" s="2">
        <v>1405100008</v>
      </c>
      <c r="B645" s="6" t="s">
        <v>1028</v>
      </c>
      <c r="C645" s="2" t="s">
        <v>1027</v>
      </c>
      <c r="D645" s="4">
        <v>215</v>
      </c>
      <c r="E645" s="4">
        <v>215</v>
      </c>
      <c r="F645" s="4">
        <v>0</v>
      </c>
    </row>
    <row r="646" spans="1:6" x14ac:dyDescent="0.35">
      <c r="A646" s="2">
        <v>1405100009</v>
      </c>
      <c r="B646" s="6" t="s">
        <v>1029</v>
      </c>
      <c r="C646" s="2" t="s">
        <v>461</v>
      </c>
      <c r="D646" s="4">
        <v>5850</v>
      </c>
      <c r="E646" s="4">
        <v>5850</v>
      </c>
      <c r="F646" s="4">
        <v>0</v>
      </c>
    </row>
    <row r="647" spans="1:6" x14ac:dyDescent="0.35">
      <c r="A647" s="2">
        <v>1405100011</v>
      </c>
      <c r="B647" s="6" t="s">
        <v>1030</v>
      </c>
      <c r="C647" s="2" t="s">
        <v>1027</v>
      </c>
      <c r="D647" s="4">
        <v>215</v>
      </c>
      <c r="E647" s="4">
        <v>215</v>
      </c>
      <c r="F647" s="4">
        <v>0</v>
      </c>
    </row>
    <row r="648" spans="1:6" x14ac:dyDescent="0.35">
      <c r="A648" s="2">
        <v>1405100012</v>
      </c>
      <c r="B648" s="6" t="s">
        <v>1031</v>
      </c>
      <c r="C648" s="2" t="s">
        <v>1027</v>
      </c>
      <c r="D648" s="4">
        <v>215</v>
      </c>
      <c r="E648" s="4">
        <v>215</v>
      </c>
      <c r="F648" s="4">
        <v>0</v>
      </c>
    </row>
    <row r="649" spans="1:6" x14ac:dyDescent="0.35">
      <c r="A649" s="2">
        <v>1405100013</v>
      </c>
      <c r="B649" s="6" t="s">
        <v>1032</v>
      </c>
      <c r="C649" s="2" t="s">
        <v>461</v>
      </c>
      <c r="D649" s="4">
        <v>8660.7161500000002</v>
      </c>
      <c r="E649" s="4">
        <v>7387.5464030000003</v>
      </c>
      <c r="F649" s="4">
        <v>1273.1697469999999</v>
      </c>
    </row>
    <row r="650" spans="1:6" x14ac:dyDescent="0.35">
      <c r="A650" s="2">
        <v>1407100003</v>
      </c>
      <c r="B650" s="6" t="s">
        <v>1033</v>
      </c>
      <c r="C650" s="2" t="s">
        <v>461</v>
      </c>
      <c r="D650" s="4">
        <v>1.1000000000000001</v>
      </c>
      <c r="E650" s="4">
        <v>1.1000000000000001</v>
      </c>
      <c r="F650" s="4">
        <v>0</v>
      </c>
    </row>
    <row r="651" spans="1:6" x14ac:dyDescent="0.35">
      <c r="A651" s="2">
        <v>1407100004</v>
      </c>
      <c r="B651" s="6" t="s">
        <v>1034</v>
      </c>
      <c r="C651" s="2" t="s">
        <v>461</v>
      </c>
      <c r="D651" s="4">
        <v>1.1000000000000001</v>
      </c>
      <c r="E651" s="4">
        <v>1.1000000000000001</v>
      </c>
      <c r="F651" s="4">
        <v>0</v>
      </c>
    </row>
    <row r="652" spans="1:6" x14ac:dyDescent="0.35">
      <c r="A652" s="2">
        <v>1407100006</v>
      </c>
      <c r="B652" s="6" t="s">
        <v>1035</v>
      </c>
      <c r="C652" s="2" t="s">
        <v>461</v>
      </c>
      <c r="D652" s="4">
        <v>1.1000000000000001</v>
      </c>
      <c r="E652" s="4">
        <v>1.1000000000000001</v>
      </c>
      <c r="F652" s="4">
        <v>0</v>
      </c>
    </row>
    <row r="653" spans="1:6" x14ac:dyDescent="0.35">
      <c r="A653" s="2">
        <v>1407100007</v>
      </c>
      <c r="B653" s="6" t="s">
        <v>1036</v>
      </c>
      <c r="C653" s="2" t="s">
        <v>461</v>
      </c>
      <c r="D653" s="4">
        <v>1.1000000000000001</v>
      </c>
      <c r="E653" s="4">
        <v>1.1000000000000001</v>
      </c>
      <c r="F653" s="4">
        <v>0</v>
      </c>
    </row>
    <row r="654" spans="1:6" x14ac:dyDescent="0.35">
      <c r="A654" s="2">
        <v>1407100009</v>
      </c>
      <c r="B654" s="6" t="s">
        <v>1037</v>
      </c>
      <c r="C654" s="2" t="s">
        <v>461</v>
      </c>
      <c r="D654" s="4">
        <v>126</v>
      </c>
      <c r="E654" s="4">
        <v>126</v>
      </c>
      <c r="F654" s="4">
        <v>0</v>
      </c>
    </row>
    <row r="655" spans="1:6" x14ac:dyDescent="0.35">
      <c r="A655" s="2">
        <v>1407100011</v>
      </c>
      <c r="B655" s="6" t="s">
        <v>1038</v>
      </c>
      <c r="C655" s="2" t="s">
        <v>461</v>
      </c>
      <c r="D655" s="4">
        <v>1.1000000000000001</v>
      </c>
      <c r="E655" s="4">
        <v>1.1000000000000001</v>
      </c>
      <c r="F655" s="4">
        <v>0</v>
      </c>
    </row>
    <row r="656" spans="1:6" x14ac:dyDescent="0.35">
      <c r="A656" s="2">
        <v>1411990010</v>
      </c>
      <c r="B656" s="6" t="s">
        <v>319</v>
      </c>
      <c r="C656" s="2" t="s">
        <v>461</v>
      </c>
      <c r="D656" s="4">
        <v>17.5</v>
      </c>
      <c r="E656" s="4">
        <v>17.5</v>
      </c>
      <c r="F656" s="4">
        <v>0</v>
      </c>
    </row>
    <row r="657" spans="1:6" x14ac:dyDescent="0.35">
      <c r="A657" s="2">
        <v>1461021041</v>
      </c>
      <c r="B657" s="6" t="s">
        <v>1039</v>
      </c>
      <c r="C657" s="2" t="s">
        <v>461</v>
      </c>
      <c r="D657" s="4">
        <v>736.44710789999999</v>
      </c>
      <c r="E657" s="4">
        <v>627.58282550000001</v>
      </c>
      <c r="F657" s="4">
        <v>108.86428239999999</v>
      </c>
    </row>
    <row r="658" spans="1:6" x14ac:dyDescent="0.35">
      <c r="A658" s="2">
        <v>1461022241</v>
      </c>
      <c r="B658" s="6" t="s">
        <v>1040</v>
      </c>
      <c r="C658" s="2" t="s">
        <v>461</v>
      </c>
      <c r="D658" s="4">
        <v>736.44710789999999</v>
      </c>
      <c r="E658" s="4">
        <v>627.58282550000001</v>
      </c>
      <c r="F658" s="4">
        <v>108.86428239999999</v>
      </c>
    </row>
    <row r="659" spans="1:6" x14ac:dyDescent="0.35">
      <c r="A659" s="2">
        <v>1461024731</v>
      </c>
      <c r="B659" s="6" t="s">
        <v>1041</v>
      </c>
      <c r="C659" s="2" t="s">
        <v>461</v>
      </c>
      <c r="D659" s="4">
        <v>736.44710789999999</v>
      </c>
      <c r="E659" s="4">
        <v>627.58282550000001</v>
      </c>
      <c r="F659" s="4">
        <v>108.86428239999999</v>
      </c>
    </row>
    <row r="660" spans="1:6" x14ac:dyDescent="0.35">
      <c r="A660" s="2">
        <v>1461041031</v>
      </c>
      <c r="B660" s="6" t="s">
        <v>1042</v>
      </c>
      <c r="C660" s="2" t="s">
        <v>461</v>
      </c>
      <c r="D660" s="4">
        <v>736.44710789999999</v>
      </c>
      <c r="E660" s="4">
        <v>627.58282550000001</v>
      </c>
      <c r="F660" s="4">
        <v>108.86428239999999</v>
      </c>
    </row>
    <row r="661" spans="1:6" x14ac:dyDescent="0.35">
      <c r="A661" s="2">
        <v>1461041041</v>
      </c>
      <c r="B661" s="6" t="s">
        <v>1043</v>
      </c>
      <c r="C661" s="2" t="s">
        <v>461</v>
      </c>
      <c r="D661" s="4">
        <v>736.44710789999999</v>
      </c>
      <c r="E661" s="4">
        <v>627.58282550000001</v>
      </c>
      <c r="F661" s="4">
        <v>108.86428239999999</v>
      </c>
    </row>
    <row r="662" spans="1:6" x14ac:dyDescent="0.35">
      <c r="A662" s="2">
        <v>1461041042</v>
      </c>
      <c r="B662" s="6" t="s">
        <v>1044</v>
      </c>
      <c r="C662" s="2" t="s">
        <v>461</v>
      </c>
      <c r="D662" s="4">
        <v>736.44710789999999</v>
      </c>
      <c r="E662" s="4">
        <v>627.58282550000001</v>
      </c>
      <c r="F662" s="4">
        <v>108.86428239999999</v>
      </c>
    </row>
    <row r="663" spans="1:6" x14ac:dyDescent="0.35">
      <c r="A663" s="2">
        <v>1461042231</v>
      </c>
      <c r="B663" s="6" t="s">
        <v>1045</v>
      </c>
      <c r="C663" s="2" t="s">
        <v>461</v>
      </c>
      <c r="D663" s="4">
        <v>736.44710789999999</v>
      </c>
      <c r="E663" s="4">
        <v>627.58282550000001</v>
      </c>
      <c r="F663" s="4">
        <v>108.86428239999999</v>
      </c>
    </row>
    <row r="664" spans="1:6" x14ac:dyDescent="0.35">
      <c r="A664" s="2">
        <v>1461042241</v>
      </c>
      <c r="B664" s="6" t="s">
        <v>1046</v>
      </c>
      <c r="C664" s="2" t="s">
        <v>461</v>
      </c>
      <c r="D664" s="4">
        <v>736.44710789999999</v>
      </c>
      <c r="E664" s="4">
        <v>627.58282550000001</v>
      </c>
      <c r="F664" s="4">
        <v>108.86428239999999</v>
      </c>
    </row>
    <row r="665" spans="1:6" x14ac:dyDescent="0.35">
      <c r="A665" s="2">
        <v>1461044731</v>
      </c>
      <c r="B665" s="6" t="s">
        <v>1047</v>
      </c>
      <c r="C665" s="2" t="s">
        <v>461</v>
      </c>
      <c r="D665" s="4">
        <v>736.44710789999999</v>
      </c>
      <c r="E665" s="4">
        <v>627.58282550000001</v>
      </c>
      <c r="F665" s="4">
        <v>108.86428239999999</v>
      </c>
    </row>
    <row r="666" spans="1:6" x14ac:dyDescent="0.35">
      <c r="A666" s="2">
        <v>1461054731</v>
      </c>
      <c r="B666" s="6" t="s">
        <v>1048</v>
      </c>
      <c r="C666" s="2" t="s">
        <v>461</v>
      </c>
      <c r="D666" s="4">
        <v>736.44710789999999</v>
      </c>
      <c r="E666" s="4">
        <v>627.58282550000001</v>
      </c>
      <c r="F666" s="4">
        <v>108.86428239999999</v>
      </c>
    </row>
    <row r="667" spans="1:6" x14ac:dyDescent="0.35">
      <c r="A667" s="2">
        <v>1461141041</v>
      </c>
      <c r="B667" s="6" t="s">
        <v>1049</v>
      </c>
      <c r="C667" s="2" t="s">
        <v>461</v>
      </c>
      <c r="D667" s="4">
        <v>736.44710789999999</v>
      </c>
      <c r="E667" s="4">
        <v>627.58282550000001</v>
      </c>
      <c r="F667" s="4">
        <v>108.86428239999999</v>
      </c>
    </row>
    <row r="668" spans="1:6" x14ac:dyDescent="0.35">
      <c r="A668" s="2">
        <v>1461143341</v>
      </c>
      <c r="B668" s="6" t="s">
        <v>1050</v>
      </c>
      <c r="C668" s="2" t="s">
        <v>461</v>
      </c>
      <c r="D668" s="4">
        <v>736.44710789999999</v>
      </c>
      <c r="E668" s="4">
        <v>627.58282550000001</v>
      </c>
      <c r="F668" s="4">
        <v>108.86428239999999</v>
      </c>
    </row>
    <row r="669" spans="1:6" x14ac:dyDescent="0.35">
      <c r="A669" s="2">
        <v>1461144731</v>
      </c>
      <c r="B669" s="6" t="s">
        <v>1051</v>
      </c>
      <c r="C669" s="2" t="s">
        <v>461</v>
      </c>
      <c r="D669" s="4">
        <v>736.44710789999999</v>
      </c>
      <c r="E669" s="4">
        <v>627.58282550000001</v>
      </c>
      <c r="F669" s="4">
        <v>108.86428239999999</v>
      </c>
    </row>
    <row r="670" spans="1:6" x14ac:dyDescent="0.35">
      <c r="A670" s="2">
        <v>1461244731</v>
      </c>
      <c r="B670" s="6" t="s">
        <v>1052</v>
      </c>
      <c r="C670" s="2" t="s">
        <v>461</v>
      </c>
      <c r="D670" s="4">
        <v>736.44710789999999</v>
      </c>
      <c r="E670" s="4">
        <v>627.58282550000001</v>
      </c>
      <c r="F670" s="4">
        <v>108.86428239999999</v>
      </c>
    </row>
    <row r="671" spans="1:6" x14ac:dyDescent="0.35">
      <c r="A671" s="2">
        <v>1461252231</v>
      </c>
      <c r="B671" s="6" t="s">
        <v>1053</v>
      </c>
      <c r="C671" s="2" t="s">
        <v>461</v>
      </c>
      <c r="D671" s="4">
        <v>736.44710789999999</v>
      </c>
      <c r="E671" s="4">
        <v>627.58282550000001</v>
      </c>
      <c r="F671" s="4">
        <v>108.86428239999999</v>
      </c>
    </row>
    <row r="672" spans="1:6" x14ac:dyDescent="0.35">
      <c r="A672" s="2">
        <v>1461343331</v>
      </c>
      <c r="B672" s="6" t="s">
        <v>1054</v>
      </c>
      <c r="C672" s="2" t="s">
        <v>461</v>
      </c>
      <c r="D672" s="4">
        <v>736.44710789999999</v>
      </c>
      <c r="E672" s="4">
        <v>627.58282550000001</v>
      </c>
      <c r="F672" s="4">
        <v>108.86428239999999</v>
      </c>
    </row>
    <row r="673" spans="1:6" x14ac:dyDescent="0.35">
      <c r="A673" s="2">
        <v>1461421031</v>
      </c>
      <c r="B673" s="6" t="s">
        <v>1055</v>
      </c>
      <c r="C673" s="2" t="s">
        <v>461</v>
      </c>
      <c r="D673" s="4">
        <v>736.44710789999999</v>
      </c>
      <c r="E673" s="4">
        <v>627.58282550000001</v>
      </c>
      <c r="F673" s="4">
        <v>108.86428239999999</v>
      </c>
    </row>
    <row r="674" spans="1:6" x14ac:dyDescent="0.35">
      <c r="A674" s="2">
        <v>1461421041</v>
      </c>
      <c r="B674" s="6" t="s">
        <v>1056</v>
      </c>
      <c r="C674" s="2" t="s">
        <v>461</v>
      </c>
      <c r="D674" s="4">
        <v>736.44710789999999</v>
      </c>
      <c r="E674" s="4">
        <v>627.58282550000001</v>
      </c>
      <c r="F674" s="4">
        <v>108.86428239999999</v>
      </c>
    </row>
    <row r="675" spans="1:6" x14ac:dyDescent="0.35">
      <c r="A675" s="2">
        <v>1461421043</v>
      </c>
      <c r="B675" s="6" t="s">
        <v>1057</v>
      </c>
      <c r="C675" s="2" t="s">
        <v>461</v>
      </c>
      <c r="D675" s="4">
        <v>1.55</v>
      </c>
      <c r="E675" s="4">
        <v>1.55</v>
      </c>
      <c r="F675" s="4">
        <v>0</v>
      </c>
    </row>
    <row r="676" spans="1:6" x14ac:dyDescent="0.35">
      <c r="A676" s="2">
        <v>1461421044</v>
      </c>
      <c r="B676" s="6" t="s">
        <v>1058</v>
      </c>
      <c r="C676" s="2" t="s">
        <v>461</v>
      </c>
      <c r="D676" s="4">
        <v>17</v>
      </c>
      <c r="E676" s="4">
        <v>17</v>
      </c>
      <c r="F676" s="4">
        <v>0</v>
      </c>
    </row>
    <row r="677" spans="1:6" x14ac:dyDescent="0.35">
      <c r="A677" s="2">
        <v>1461421045</v>
      </c>
      <c r="B677" s="6" t="s">
        <v>1059</v>
      </c>
      <c r="C677" s="2" t="s">
        <v>461</v>
      </c>
      <c r="D677" s="4">
        <v>17</v>
      </c>
      <c r="E677" s="4">
        <v>17</v>
      </c>
      <c r="F677" s="4">
        <v>0</v>
      </c>
    </row>
    <row r="678" spans="1:6" x14ac:dyDescent="0.35">
      <c r="A678" s="2">
        <v>1461421046</v>
      </c>
      <c r="B678" s="6" t="s">
        <v>1060</v>
      </c>
      <c r="C678" s="2" t="s">
        <v>461</v>
      </c>
      <c r="D678" s="4">
        <v>17</v>
      </c>
      <c r="E678" s="4">
        <v>17</v>
      </c>
      <c r="F678" s="4">
        <v>0</v>
      </c>
    </row>
    <row r="679" spans="1:6" x14ac:dyDescent="0.35">
      <c r="A679" s="2">
        <v>1461421047</v>
      </c>
      <c r="B679" s="6" t="s">
        <v>1061</v>
      </c>
      <c r="C679" s="2" t="s">
        <v>461</v>
      </c>
      <c r="D679" s="4">
        <v>17</v>
      </c>
      <c r="E679" s="4">
        <v>17</v>
      </c>
      <c r="F679" s="4">
        <v>0</v>
      </c>
    </row>
    <row r="680" spans="1:6" x14ac:dyDescent="0.35">
      <c r="A680" s="2">
        <v>1461441041</v>
      </c>
      <c r="B680" s="6" t="s">
        <v>1062</v>
      </c>
      <c r="C680" s="2" t="s">
        <v>461</v>
      </c>
      <c r="D680" s="4">
        <v>736.44710789999999</v>
      </c>
      <c r="E680" s="4">
        <v>627.58282550000001</v>
      </c>
      <c r="F680" s="4">
        <v>108.86428239999999</v>
      </c>
    </row>
    <row r="681" spans="1:6" x14ac:dyDescent="0.35">
      <c r="A681" s="2">
        <v>1461441049</v>
      </c>
      <c r="B681" s="6" t="s">
        <v>1063</v>
      </c>
      <c r="C681" s="2" t="s">
        <v>461</v>
      </c>
      <c r="D681" s="4">
        <v>0.24</v>
      </c>
      <c r="E681" s="4">
        <v>0.24</v>
      </c>
      <c r="F681" s="4">
        <v>0</v>
      </c>
    </row>
    <row r="682" spans="1:6" x14ac:dyDescent="0.35">
      <c r="A682" s="2">
        <v>1461441050</v>
      </c>
      <c r="B682" s="6" t="s">
        <v>1064</v>
      </c>
      <c r="C682" s="2" t="s">
        <v>461</v>
      </c>
      <c r="D682" s="4">
        <v>0.45</v>
      </c>
      <c r="E682" s="4">
        <v>0.45</v>
      </c>
      <c r="F682" s="4">
        <v>0</v>
      </c>
    </row>
    <row r="683" spans="1:6" x14ac:dyDescent="0.35">
      <c r="A683" s="2">
        <v>1461444731</v>
      </c>
      <c r="B683" s="6" t="s">
        <v>1065</v>
      </c>
      <c r="C683" s="2" t="s">
        <v>461</v>
      </c>
      <c r="D683" s="4">
        <v>736.44710789999999</v>
      </c>
      <c r="E683" s="4">
        <v>627.58282550000001</v>
      </c>
      <c r="F683" s="4">
        <v>108.86428239999999</v>
      </c>
    </row>
    <row r="684" spans="1:6" x14ac:dyDescent="0.35">
      <c r="A684" s="2">
        <v>1461444732</v>
      </c>
      <c r="B684" s="6" t="s">
        <v>1066</v>
      </c>
      <c r="C684" s="2" t="s">
        <v>1027</v>
      </c>
      <c r="D684" s="4">
        <v>70</v>
      </c>
      <c r="E684" s="4">
        <v>70</v>
      </c>
      <c r="F684" s="4">
        <v>0</v>
      </c>
    </row>
    <row r="685" spans="1:6" x14ac:dyDescent="0.35">
      <c r="A685" s="2">
        <v>1461444733</v>
      </c>
      <c r="B685" s="6" t="s">
        <v>1067</v>
      </c>
      <c r="C685" s="2" t="s">
        <v>461</v>
      </c>
      <c r="D685" s="4">
        <v>736.44710789999999</v>
      </c>
      <c r="E685" s="4">
        <v>627.58282550000001</v>
      </c>
      <c r="F685" s="4">
        <v>108.86428239999999</v>
      </c>
    </row>
    <row r="686" spans="1:6" x14ac:dyDescent="0.35">
      <c r="A686" s="2">
        <v>1461444734</v>
      </c>
      <c r="B686" s="6" t="s">
        <v>1068</v>
      </c>
      <c r="C686" s="2" t="s">
        <v>461</v>
      </c>
      <c r="D686" s="4">
        <v>736.44710789999999</v>
      </c>
      <c r="E686" s="4">
        <v>627.58282550000001</v>
      </c>
      <c r="F686" s="4">
        <v>108.86428239999999</v>
      </c>
    </row>
    <row r="687" spans="1:6" x14ac:dyDescent="0.35">
      <c r="A687" s="2">
        <v>1461444735</v>
      </c>
      <c r="B687" s="6" t="s">
        <v>1069</v>
      </c>
      <c r="C687" s="2" t="s">
        <v>461</v>
      </c>
      <c r="D687" s="4">
        <v>736.44710789999999</v>
      </c>
      <c r="E687" s="4">
        <v>627.58282550000001</v>
      </c>
      <c r="F687" s="4">
        <v>108.86428239999999</v>
      </c>
    </row>
    <row r="688" spans="1:6" x14ac:dyDescent="0.35">
      <c r="A688" s="2">
        <v>1461444736</v>
      </c>
      <c r="B688" s="6" t="s">
        <v>1070</v>
      </c>
      <c r="C688" s="2" t="s">
        <v>461</v>
      </c>
      <c r="D688" s="4">
        <v>736.44710789999999</v>
      </c>
      <c r="E688" s="4">
        <v>627.58282550000001</v>
      </c>
      <c r="F688" s="4">
        <v>108.86428239999999</v>
      </c>
    </row>
    <row r="689" spans="1:6" x14ac:dyDescent="0.35">
      <c r="A689" s="2">
        <v>1461444737</v>
      </c>
      <c r="B689" s="6" t="s">
        <v>1071</v>
      </c>
      <c r="C689" s="2" t="s">
        <v>461</v>
      </c>
      <c r="D689" s="4">
        <v>736.44710789999999</v>
      </c>
      <c r="E689" s="4">
        <v>627.58282550000001</v>
      </c>
      <c r="F689" s="4">
        <v>108.86428239999999</v>
      </c>
    </row>
    <row r="690" spans="1:6" x14ac:dyDescent="0.35">
      <c r="A690" s="2">
        <v>1461444738</v>
      </c>
      <c r="B690" s="6" t="s">
        <v>1072</v>
      </c>
      <c r="C690" s="2" t="s">
        <v>461</v>
      </c>
      <c r="D690" s="4">
        <v>736.44710789999999</v>
      </c>
      <c r="E690" s="4">
        <v>627.58282550000001</v>
      </c>
      <c r="F690" s="4">
        <v>108.86428239999999</v>
      </c>
    </row>
    <row r="691" spans="1:6" x14ac:dyDescent="0.35">
      <c r="A691" s="2">
        <v>1461444739</v>
      </c>
      <c r="B691" s="6" t="s">
        <v>1073</v>
      </c>
      <c r="C691" s="2" t="s">
        <v>461</v>
      </c>
      <c r="D691" s="4">
        <v>736.44710789999999</v>
      </c>
      <c r="E691" s="4">
        <v>627.58282550000001</v>
      </c>
      <c r="F691" s="4">
        <v>108.86428239999999</v>
      </c>
    </row>
    <row r="692" spans="1:6" x14ac:dyDescent="0.35">
      <c r="A692" s="2">
        <v>1461444740</v>
      </c>
      <c r="B692" s="6" t="s">
        <v>1074</v>
      </c>
      <c r="C692" s="2" t="s">
        <v>461</v>
      </c>
      <c r="D692" s="4">
        <v>736.44710789999999</v>
      </c>
      <c r="E692" s="4">
        <v>627.58282550000001</v>
      </c>
      <c r="F692" s="4">
        <v>108.86428239999999</v>
      </c>
    </row>
    <row r="693" spans="1:6" x14ac:dyDescent="0.35">
      <c r="A693" s="2">
        <v>1461444741</v>
      </c>
      <c r="B693" s="6" t="s">
        <v>1075</v>
      </c>
      <c r="C693" s="2" t="s">
        <v>461</v>
      </c>
      <c r="D693" s="4">
        <v>736.44710789999999</v>
      </c>
      <c r="E693" s="4">
        <v>627.58282550000001</v>
      </c>
      <c r="F693" s="4">
        <v>108.86428239999999</v>
      </c>
    </row>
    <row r="694" spans="1:6" x14ac:dyDescent="0.35">
      <c r="A694" s="2">
        <v>1461444742</v>
      </c>
      <c r="B694" s="6" t="s">
        <v>1076</v>
      </c>
      <c r="C694" s="2" t="s">
        <v>461</v>
      </c>
      <c r="D694" s="4">
        <v>736.44710789999999</v>
      </c>
      <c r="E694" s="4">
        <v>627.58282550000001</v>
      </c>
      <c r="F694" s="4">
        <v>108.86428239999999</v>
      </c>
    </row>
    <row r="695" spans="1:6" x14ac:dyDescent="0.35">
      <c r="A695" s="2">
        <v>1481191227</v>
      </c>
      <c r="B695" s="6" t="s">
        <v>1077</v>
      </c>
      <c r="C695" s="2" t="s">
        <v>461</v>
      </c>
      <c r="D695" s="4">
        <v>486</v>
      </c>
      <c r="E695" s="4">
        <v>486</v>
      </c>
      <c r="F695" s="4">
        <v>0</v>
      </c>
    </row>
    <row r="696" spans="1:6" x14ac:dyDescent="0.35">
      <c r="A696" s="2">
        <v>1481191337</v>
      </c>
      <c r="B696" s="6" t="s">
        <v>1078</v>
      </c>
      <c r="C696" s="2" t="s">
        <v>461</v>
      </c>
      <c r="D696" s="4">
        <v>486</v>
      </c>
      <c r="E696" s="4">
        <v>486</v>
      </c>
      <c r="F696" s="4">
        <v>0</v>
      </c>
    </row>
    <row r="697" spans="1:6" x14ac:dyDescent="0.35">
      <c r="A697" s="2">
        <v>1481193157</v>
      </c>
      <c r="B697" s="6" t="s">
        <v>1079</v>
      </c>
      <c r="C697" s="2" t="s">
        <v>461</v>
      </c>
      <c r="D697" s="4">
        <v>486</v>
      </c>
      <c r="E697" s="4">
        <v>486</v>
      </c>
      <c r="F697" s="4">
        <v>0</v>
      </c>
    </row>
    <row r="698" spans="1:6" x14ac:dyDescent="0.35">
      <c r="A698" s="2">
        <v>1481193227</v>
      </c>
      <c r="B698" s="6" t="s">
        <v>1080</v>
      </c>
      <c r="C698" s="2" t="s">
        <v>461</v>
      </c>
      <c r="D698" s="4">
        <v>486</v>
      </c>
      <c r="E698" s="4">
        <v>486</v>
      </c>
      <c r="F698" s="4">
        <v>0</v>
      </c>
    </row>
    <row r="699" spans="1:6" x14ac:dyDescent="0.35">
      <c r="A699" s="2">
        <v>1481195226</v>
      </c>
      <c r="B699" s="6" t="s">
        <v>1081</v>
      </c>
      <c r="C699" s="2" t="s">
        <v>461</v>
      </c>
      <c r="D699" s="4">
        <v>486</v>
      </c>
      <c r="E699" s="4">
        <v>486</v>
      </c>
      <c r="F699" s="4">
        <v>0</v>
      </c>
    </row>
    <row r="700" spans="1:6" x14ac:dyDescent="0.35">
      <c r="A700" s="2">
        <v>1481195336</v>
      </c>
      <c r="B700" s="6" t="s">
        <v>1082</v>
      </c>
      <c r="C700" s="2" t="s">
        <v>461</v>
      </c>
      <c r="D700" s="4">
        <v>486</v>
      </c>
      <c r="E700" s="4">
        <v>486</v>
      </c>
      <c r="F700" s="4">
        <v>0</v>
      </c>
    </row>
    <row r="701" spans="1:6" x14ac:dyDescent="0.35">
      <c r="A701" s="2">
        <v>1481197156</v>
      </c>
      <c r="B701" s="6" t="s">
        <v>1083</v>
      </c>
      <c r="C701" s="2" t="s">
        <v>461</v>
      </c>
      <c r="D701" s="4">
        <v>486</v>
      </c>
      <c r="E701" s="4">
        <v>486</v>
      </c>
      <c r="F701" s="4">
        <v>0</v>
      </c>
    </row>
    <row r="702" spans="1:6" x14ac:dyDescent="0.35">
      <c r="A702" s="2">
        <v>1481197226</v>
      </c>
      <c r="B702" s="6" t="e">
        <v>#N/A</v>
      </c>
      <c r="C702" s="2" t="e">
        <v>#N/A</v>
      </c>
      <c r="D702" s="4">
        <v>420</v>
      </c>
      <c r="E702" s="4">
        <v>420</v>
      </c>
    </row>
    <row r="703" spans="1:6" x14ac:dyDescent="0.35">
      <c r="A703" s="2">
        <v>1482181107</v>
      </c>
      <c r="B703" s="6" t="s">
        <v>1084</v>
      </c>
      <c r="C703" s="2" t="s">
        <v>461</v>
      </c>
      <c r="D703" s="4">
        <v>486</v>
      </c>
      <c r="E703" s="4">
        <v>486</v>
      </c>
      <c r="F703" s="4">
        <v>0</v>
      </c>
    </row>
    <row r="704" spans="1:6" x14ac:dyDescent="0.35">
      <c r="A704" s="2">
        <v>1482183336</v>
      </c>
      <c r="B704" s="6" t="s">
        <v>1085</v>
      </c>
      <c r="C704" s="2" t="s">
        <v>461</v>
      </c>
      <c r="D704" s="4">
        <v>486</v>
      </c>
      <c r="E704" s="4">
        <v>486</v>
      </c>
      <c r="F704" s="4">
        <v>0</v>
      </c>
    </row>
    <row r="705" spans="1:6" x14ac:dyDescent="0.35">
      <c r="A705" s="2">
        <v>1482183476</v>
      </c>
      <c r="B705" s="6" t="s">
        <v>1086</v>
      </c>
      <c r="C705" s="2" t="s">
        <v>461</v>
      </c>
      <c r="D705" s="4">
        <v>486</v>
      </c>
      <c r="E705" s="4">
        <v>486</v>
      </c>
      <c r="F705" s="4">
        <v>0</v>
      </c>
    </row>
    <row r="706" spans="1:6" x14ac:dyDescent="0.35">
      <c r="A706" s="2">
        <v>1482188105</v>
      </c>
      <c r="B706" s="6" t="s">
        <v>1087</v>
      </c>
      <c r="C706" s="2" t="s">
        <v>461</v>
      </c>
      <c r="D706" s="4">
        <v>486</v>
      </c>
      <c r="E706" s="4">
        <v>486</v>
      </c>
      <c r="F706" s="4">
        <v>0</v>
      </c>
    </row>
    <row r="707" spans="1:6" x14ac:dyDescent="0.35">
      <c r="A707" s="2">
        <v>1482191227</v>
      </c>
      <c r="B707" s="6" t="s">
        <v>1088</v>
      </c>
      <c r="C707" s="2" t="s">
        <v>461</v>
      </c>
      <c r="D707" s="4">
        <v>486</v>
      </c>
      <c r="E707" s="4">
        <v>486</v>
      </c>
      <c r="F707" s="4">
        <v>0</v>
      </c>
    </row>
    <row r="708" spans="1:6" x14ac:dyDescent="0.35">
      <c r="A708" s="2">
        <v>1482191337</v>
      </c>
      <c r="B708" s="6" t="s">
        <v>1089</v>
      </c>
      <c r="C708" s="2" t="s">
        <v>461</v>
      </c>
      <c r="D708" s="4">
        <v>486</v>
      </c>
      <c r="E708" s="4">
        <v>486</v>
      </c>
      <c r="F708" s="4">
        <v>0</v>
      </c>
    </row>
    <row r="709" spans="1:6" x14ac:dyDescent="0.35">
      <c r="A709" s="2">
        <v>1482214556</v>
      </c>
      <c r="B709" s="6" t="s">
        <v>1090</v>
      </c>
      <c r="C709" s="2" t="s">
        <v>461</v>
      </c>
      <c r="D709" s="4">
        <v>486</v>
      </c>
      <c r="E709" s="4">
        <v>486</v>
      </c>
      <c r="F709" s="4">
        <v>0</v>
      </c>
    </row>
    <row r="710" spans="1:6" x14ac:dyDescent="0.35">
      <c r="A710" s="2">
        <v>1483011107</v>
      </c>
      <c r="B710" s="6" t="s">
        <v>1091</v>
      </c>
      <c r="C710" s="2" t="s">
        <v>461</v>
      </c>
      <c r="D710" s="4">
        <v>486</v>
      </c>
      <c r="E710" s="4">
        <v>486</v>
      </c>
      <c r="F710" s="4">
        <v>0</v>
      </c>
    </row>
    <row r="711" spans="1:6" x14ac:dyDescent="0.35">
      <c r="A711" s="2">
        <v>1483011227</v>
      </c>
      <c r="B711" s="6" t="s">
        <v>1092</v>
      </c>
      <c r="C711" s="2" t="s">
        <v>461</v>
      </c>
      <c r="D711" s="4">
        <v>486</v>
      </c>
      <c r="E711" s="4">
        <v>486</v>
      </c>
      <c r="F711" s="4">
        <v>0</v>
      </c>
    </row>
    <row r="712" spans="1:6" x14ac:dyDescent="0.35">
      <c r="A712" s="2">
        <v>1483011336</v>
      </c>
      <c r="B712" s="6" t="s">
        <v>1093</v>
      </c>
      <c r="C712" s="2" t="s">
        <v>461</v>
      </c>
      <c r="D712" s="4">
        <v>486</v>
      </c>
      <c r="E712" s="4">
        <v>486</v>
      </c>
      <c r="F712" s="4">
        <v>0</v>
      </c>
    </row>
    <row r="713" spans="1:6" x14ac:dyDescent="0.35">
      <c r="A713" s="2">
        <v>1483011337</v>
      </c>
      <c r="B713" s="6" t="s">
        <v>1094</v>
      </c>
      <c r="C713" s="2" t="s">
        <v>461</v>
      </c>
      <c r="D713" s="4">
        <v>486</v>
      </c>
      <c r="E713" s="4">
        <v>486</v>
      </c>
      <c r="F713" s="4">
        <v>0</v>
      </c>
    </row>
    <row r="714" spans="1:6" x14ac:dyDescent="0.35">
      <c r="A714" s="2">
        <v>1483011476</v>
      </c>
      <c r="B714" s="6" t="s">
        <v>1095</v>
      </c>
      <c r="C714" s="2" t="s">
        <v>461</v>
      </c>
      <c r="D714" s="4">
        <v>486</v>
      </c>
      <c r="E714" s="4">
        <v>486</v>
      </c>
      <c r="F714" s="4">
        <v>0</v>
      </c>
    </row>
    <row r="715" spans="1:6" x14ac:dyDescent="0.35">
      <c r="A715" s="2">
        <v>1483011686</v>
      </c>
      <c r="B715" s="6" t="s">
        <v>1096</v>
      </c>
      <c r="C715" s="2" t="s">
        <v>461</v>
      </c>
      <c r="D715" s="4">
        <v>486</v>
      </c>
      <c r="E715" s="4">
        <v>486</v>
      </c>
      <c r="F715" s="4">
        <v>0</v>
      </c>
    </row>
    <row r="716" spans="1:6" x14ac:dyDescent="0.35">
      <c r="A716" s="2">
        <v>1483012106</v>
      </c>
      <c r="B716" s="6" t="s">
        <v>1097</v>
      </c>
      <c r="C716" s="2" t="s">
        <v>461</v>
      </c>
      <c r="D716" s="4">
        <v>486</v>
      </c>
      <c r="E716" s="4">
        <v>486</v>
      </c>
      <c r="F716" s="4">
        <v>0</v>
      </c>
    </row>
    <row r="717" spans="1:6" x14ac:dyDescent="0.35">
      <c r="A717" s="2">
        <v>1483012107</v>
      </c>
      <c r="B717" s="6" t="s">
        <v>1098</v>
      </c>
      <c r="C717" s="2" t="s">
        <v>461</v>
      </c>
      <c r="D717" s="4">
        <v>486</v>
      </c>
      <c r="E717" s="4">
        <v>486</v>
      </c>
      <c r="F717" s="4">
        <v>0</v>
      </c>
    </row>
    <row r="718" spans="1:6" x14ac:dyDescent="0.35">
      <c r="A718" s="2">
        <v>1483012156</v>
      </c>
      <c r="B718" s="6" t="s">
        <v>1099</v>
      </c>
      <c r="C718" s="2" t="s">
        <v>461</v>
      </c>
      <c r="D718" s="4">
        <v>486</v>
      </c>
      <c r="E718" s="4">
        <v>486</v>
      </c>
      <c r="F718" s="4">
        <v>0</v>
      </c>
    </row>
    <row r="719" spans="1:6" x14ac:dyDescent="0.35">
      <c r="A719" s="2">
        <v>1483012157</v>
      </c>
      <c r="B719" s="6" t="s">
        <v>1100</v>
      </c>
      <c r="C719" s="2" t="s">
        <v>461</v>
      </c>
      <c r="D719" s="4">
        <v>486</v>
      </c>
      <c r="E719" s="4">
        <v>486</v>
      </c>
      <c r="F719" s="4">
        <v>0</v>
      </c>
    </row>
    <row r="720" spans="1:6" x14ac:dyDescent="0.35">
      <c r="A720" s="2">
        <v>1483012226</v>
      </c>
      <c r="B720" s="6" t="s">
        <v>1101</v>
      </c>
      <c r="C720" s="2" t="s">
        <v>461</v>
      </c>
      <c r="D720" s="4">
        <v>486</v>
      </c>
      <c r="E720" s="4">
        <v>486</v>
      </c>
      <c r="F720" s="4">
        <v>0</v>
      </c>
    </row>
    <row r="721" spans="1:6" x14ac:dyDescent="0.35">
      <c r="A721" s="2">
        <v>1483012227</v>
      </c>
      <c r="B721" s="6" t="s">
        <v>1102</v>
      </c>
      <c r="C721" s="2" t="s">
        <v>461</v>
      </c>
      <c r="D721" s="4">
        <v>486</v>
      </c>
      <c r="E721" s="4">
        <v>486</v>
      </c>
      <c r="F721" s="4">
        <v>0</v>
      </c>
    </row>
    <row r="722" spans="1:6" x14ac:dyDescent="0.35">
      <c r="A722" s="2">
        <v>1483012336</v>
      </c>
      <c r="B722" s="6" t="s">
        <v>1103</v>
      </c>
      <c r="C722" s="2" t="s">
        <v>461</v>
      </c>
      <c r="D722" s="4">
        <v>486</v>
      </c>
      <c r="E722" s="4">
        <v>486</v>
      </c>
      <c r="F722" s="4">
        <v>0</v>
      </c>
    </row>
    <row r="723" spans="1:6" x14ac:dyDescent="0.35">
      <c r="A723" s="2">
        <v>1483012476</v>
      </c>
      <c r="B723" s="6" t="s">
        <v>1104</v>
      </c>
      <c r="C723" s="2" t="s">
        <v>461</v>
      </c>
      <c r="D723" s="4">
        <v>486</v>
      </c>
      <c r="E723" s="4">
        <v>486</v>
      </c>
      <c r="F723" s="4">
        <v>0</v>
      </c>
    </row>
    <row r="724" spans="1:6" x14ac:dyDescent="0.35">
      <c r="A724" s="2">
        <v>1483012685</v>
      </c>
      <c r="B724" s="6" t="s">
        <v>1105</v>
      </c>
      <c r="C724" s="2" t="s">
        <v>461</v>
      </c>
      <c r="D724" s="4">
        <v>486</v>
      </c>
      <c r="E724" s="4">
        <v>486</v>
      </c>
      <c r="F724" s="4">
        <v>0</v>
      </c>
    </row>
    <row r="725" spans="1:6" x14ac:dyDescent="0.35">
      <c r="A725" s="2">
        <v>1483012686</v>
      </c>
      <c r="B725" s="6" t="s">
        <v>1106</v>
      </c>
      <c r="C725" s="2" t="s">
        <v>461</v>
      </c>
      <c r="D725" s="4">
        <v>486</v>
      </c>
      <c r="E725" s="4">
        <v>486</v>
      </c>
      <c r="F725" s="4">
        <v>0</v>
      </c>
    </row>
    <row r="726" spans="1:6" x14ac:dyDescent="0.35">
      <c r="A726" s="2">
        <v>1483013106</v>
      </c>
      <c r="B726" s="6" t="s">
        <v>1107</v>
      </c>
      <c r="C726" s="2" t="s">
        <v>461</v>
      </c>
      <c r="D726" s="4">
        <v>486</v>
      </c>
      <c r="E726" s="4">
        <v>486</v>
      </c>
      <c r="F726" s="4">
        <v>0</v>
      </c>
    </row>
    <row r="727" spans="1:6" x14ac:dyDescent="0.35">
      <c r="A727" s="2">
        <v>1483013107</v>
      </c>
      <c r="B727" s="6" t="s">
        <v>1108</v>
      </c>
      <c r="C727" s="2" t="s">
        <v>461</v>
      </c>
      <c r="D727" s="4">
        <v>486</v>
      </c>
      <c r="E727" s="4">
        <v>486</v>
      </c>
      <c r="F727" s="4">
        <v>0</v>
      </c>
    </row>
    <row r="728" spans="1:6" x14ac:dyDescent="0.35">
      <c r="A728" s="2">
        <v>1483013156</v>
      </c>
      <c r="B728" s="6" t="s">
        <v>1109</v>
      </c>
      <c r="C728" s="2" t="s">
        <v>461</v>
      </c>
      <c r="D728" s="4">
        <v>486</v>
      </c>
      <c r="E728" s="4">
        <v>486</v>
      </c>
      <c r="F728" s="4">
        <v>0</v>
      </c>
    </row>
    <row r="729" spans="1:6" x14ac:dyDescent="0.35">
      <c r="A729" s="2">
        <v>1483013157</v>
      </c>
      <c r="B729" s="6" t="s">
        <v>1110</v>
      </c>
      <c r="C729" s="2" t="s">
        <v>461</v>
      </c>
      <c r="D729" s="4">
        <v>486</v>
      </c>
      <c r="E729" s="4">
        <v>486</v>
      </c>
      <c r="F729" s="4">
        <v>0</v>
      </c>
    </row>
    <row r="730" spans="1:6" x14ac:dyDescent="0.35">
      <c r="A730" s="2">
        <v>1483013226</v>
      </c>
      <c r="B730" s="6" t="s">
        <v>1111</v>
      </c>
      <c r="C730" s="2" t="s">
        <v>461</v>
      </c>
      <c r="D730" s="4">
        <v>486</v>
      </c>
      <c r="E730" s="4">
        <v>486</v>
      </c>
      <c r="F730" s="4">
        <v>0</v>
      </c>
    </row>
    <row r="731" spans="1:6" x14ac:dyDescent="0.35">
      <c r="A731" s="2">
        <v>1483013336</v>
      </c>
      <c r="B731" s="6" t="s">
        <v>1112</v>
      </c>
      <c r="C731" s="2" t="s">
        <v>461</v>
      </c>
      <c r="D731" s="4">
        <v>486</v>
      </c>
      <c r="E731" s="4">
        <v>486</v>
      </c>
      <c r="F731" s="4">
        <v>0</v>
      </c>
    </row>
    <row r="732" spans="1:6" x14ac:dyDescent="0.35">
      <c r="A732" s="2">
        <v>1483013475</v>
      </c>
      <c r="B732" s="6" t="s">
        <v>1113</v>
      </c>
      <c r="C732" s="2" t="s">
        <v>461</v>
      </c>
      <c r="D732" s="4">
        <v>486</v>
      </c>
      <c r="E732" s="4">
        <v>486</v>
      </c>
      <c r="F732" s="4">
        <v>0</v>
      </c>
    </row>
    <row r="733" spans="1:6" x14ac:dyDescent="0.35">
      <c r="A733" s="2">
        <v>1483013476</v>
      </c>
      <c r="B733" s="6" t="s">
        <v>1114</v>
      </c>
      <c r="C733" s="2" t="s">
        <v>461</v>
      </c>
      <c r="D733" s="4">
        <v>486</v>
      </c>
      <c r="E733" s="4">
        <v>486</v>
      </c>
      <c r="F733" s="4">
        <v>0</v>
      </c>
    </row>
    <row r="734" spans="1:6" x14ac:dyDescent="0.35">
      <c r="A734" s="2">
        <v>1483013685</v>
      </c>
      <c r="B734" s="6" t="s">
        <v>1115</v>
      </c>
      <c r="C734" s="2" t="s">
        <v>461</v>
      </c>
      <c r="D734" s="4">
        <v>486</v>
      </c>
      <c r="E734" s="4">
        <v>486</v>
      </c>
      <c r="F734" s="4">
        <v>0</v>
      </c>
    </row>
    <row r="735" spans="1:6" x14ac:dyDescent="0.35">
      <c r="A735" s="2">
        <v>1483013686</v>
      </c>
      <c r="B735" s="6" t="s">
        <v>1116</v>
      </c>
      <c r="C735" s="2" t="s">
        <v>461</v>
      </c>
      <c r="D735" s="4">
        <v>486</v>
      </c>
      <c r="E735" s="4">
        <v>486</v>
      </c>
      <c r="F735" s="4">
        <v>0</v>
      </c>
    </row>
    <row r="736" spans="1:6" x14ac:dyDescent="0.35">
      <c r="A736" s="2">
        <v>1483014106</v>
      </c>
      <c r="B736" s="6" t="s">
        <v>1117</v>
      </c>
      <c r="C736" s="2" t="s">
        <v>461</v>
      </c>
      <c r="D736" s="4">
        <v>486</v>
      </c>
      <c r="E736" s="4">
        <v>486</v>
      </c>
      <c r="F736" s="4">
        <v>0</v>
      </c>
    </row>
    <row r="737" spans="1:6" x14ac:dyDescent="0.35">
      <c r="A737" s="2">
        <v>1483014156</v>
      </c>
      <c r="B737" s="6" t="s">
        <v>1118</v>
      </c>
      <c r="C737" s="2" t="s">
        <v>461</v>
      </c>
      <c r="D737" s="4">
        <v>486</v>
      </c>
      <c r="E737" s="4">
        <v>486</v>
      </c>
      <c r="F737" s="4">
        <v>0</v>
      </c>
    </row>
    <row r="738" spans="1:6" x14ac:dyDescent="0.35">
      <c r="A738" s="2">
        <v>1483014226</v>
      </c>
      <c r="B738" s="6" t="s">
        <v>1119</v>
      </c>
      <c r="C738" s="2" t="s">
        <v>461</v>
      </c>
      <c r="D738" s="4">
        <v>486</v>
      </c>
      <c r="E738" s="4">
        <v>486</v>
      </c>
      <c r="F738" s="4">
        <v>0</v>
      </c>
    </row>
    <row r="739" spans="1:6" x14ac:dyDescent="0.35">
      <c r="A739" s="2">
        <v>1483014335</v>
      </c>
      <c r="B739" s="6" t="s">
        <v>1120</v>
      </c>
      <c r="C739" s="2" t="s">
        <v>461</v>
      </c>
      <c r="D739" s="4">
        <v>486</v>
      </c>
      <c r="E739" s="4">
        <v>486</v>
      </c>
      <c r="F739" s="4">
        <v>0</v>
      </c>
    </row>
    <row r="740" spans="1:6" x14ac:dyDescent="0.35">
      <c r="A740" s="2">
        <v>1483014336</v>
      </c>
      <c r="B740" s="6" t="s">
        <v>1121</v>
      </c>
      <c r="C740" s="2" t="s">
        <v>461</v>
      </c>
      <c r="D740" s="4">
        <v>486</v>
      </c>
      <c r="E740" s="4">
        <v>486</v>
      </c>
      <c r="F740" s="4">
        <v>0</v>
      </c>
    </row>
    <row r="741" spans="1:6" x14ac:dyDescent="0.35">
      <c r="A741" s="2">
        <v>1483014475</v>
      </c>
      <c r="B741" s="6" t="s">
        <v>1122</v>
      </c>
      <c r="C741" s="2" t="s">
        <v>461</v>
      </c>
      <c r="D741" s="4">
        <v>486</v>
      </c>
      <c r="E741" s="4">
        <v>486</v>
      </c>
      <c r="F741" s="4">
        <v>0</v>
      </c>
    </row>
    <row r="742" spans="1:6" x14ac:dyDescent="0.35">
      <c r="A742" s="2">
        <v>1483014476</v>
      </c>
      <c r="B742" s="6" t="s">
        <v>1123</v>
      </c>
      <c r="C742" s="2" t="s">
        <v>461</v>
      </c>
      <c r="D742" s="4">
        <v>486</v>
      </c>
      <c r="E742" s="4">
        <v>486</v>
      </c>
      <c r="F742" s="4">
        <v>0</v>
      </c>
    </row>
    <row r="743" spans="1:6" x14ac:dyDescent="0.35">
      <c r="A743" s="2">
        <v>1483014685</v>
      </c>
      <c r="B743" s="6" t="s">
        <v>1124</v>
      </c>
      <c r="C743" s="2" t="s">
        <v>461</v>
      </c>
      <c r="D743" s="4">
        <v>486</v>
      </c>
      <c r="E743" s="4">
        <v>486</v>
      </c>
      <c r="F743" s="4">
        <v>0</v>
      </c>
    </row>
    <row r="744" spans="1:6" x14ac:dyDescent="0.35">
      <c r="A744" s="2">
        <v>1483014686</v>
      </c>
      <c r="B744" s="6" t="s">
        <v>1125</v>
      </c>
      <c r="C744" s="2" t="s">
        <v>461</v>
      </c>
      <c r="D744" s="4">
        <v>486</v>
      </c>
      <c r="E744" s="4">
        <v>486</v>
      </c>
      <c r="F744" s="4">
        <v>0</v>
      </c>
    </row>
    <row r="745" spans="1:6" x14ac:dyDescent="0.35">
      <c r="A745" s="2">
        <v>1483015106</v>
      </c>
      <c r="B745" s="6" t="s">
        <v>1126</v>
      </c>
      <c r="C745" s="2" t="s">
        <v>461</v>
      </c>
      <c r="D745" s="4">
        <v>486</v>
      </c>
      <c r="E745" s="4">
        <v>486</v>
      </c>
      <c r="F745" s="4">
        <v>0</v>
      </c>
    </row>
    <row r="746" spans="1:6" x14ac:dyDescent="0.35">
      <c r="A746" s="2">
        <v>1483015335</v>
      </c>
      <c r="B746" s="6" t="s">
        <v>1127</v>
      </c>
      <c r="C746" s="2" t="s">
        <v>461</v>
      </c>
      <c r="D746" s="4">
        <v>486</v>
      </c>
      <c r="E746" s="4">
        <v>486</v>
      </c>
      <c r="F746" s="4">
        <v>0</v>
      </c>
    </row>
    <row r="747" spans="1:6" x14ac:dyDescent="0.35">
      <c r="A747" s="2">
        <v>1483017106</v>
      </c>
      <c r="B747" s="6" t="s">
        <v>1128</v>
      </c>
      <c r="C747" s="2" t="s">
        <v>461</v>
      </c>
      <c r="D747" s="4">
        <v>455</v>
      </c>
      <c r="E747" s="4">
        <v>455</v>
      </c>
    </row>
    <row r="748" spans="1:6" x14ac:dyDescent="0.35">
      <c r="A748" s="2">
        <v>1483017335</v>
      </c>
      <c r="B748" s="6" t="s">
        <v>1129</v>
      </c>
      <c r="C748" s="2" t="s">
        <v>461</v>
      </c>
      <c r="D748" s="4">
        <v>486</v>
      </c>
      <c r="E748" s="4">
        <v>486</v>
      </c>
      <c r="F748" s="4">
        <v>0</v>
      </c>
    </row>
    <row r="749" spans="1:6" x14ac:dyDescent="0.35">
      <c r="A749" s="2">
        <v>1483018105</v>
      </c>
      <c r="B749" s="6" t="s">
        <v>1130</v>
      </c>
      <c r="C749" s="2" t="s">
        <v>461</v>
      </c>
      <c r="D749" s="4">
        <v>486</v>
      </c>
      <c r="E749" s="4">
        <v>486</v>
      </c>
      <c r="F749" s="4">
        <v>0</v>
      </c>
    </row>
    <row r="750" spans="1:6" x14ac:dyDescent="0.35">
      <c r="A750" s="2">
        <v>1483190337</v>
      </c>
      <c r="B750" s="6" t="s">
        <v>1131</v>
      </c>
      <c r="C750" s="2" t="s">
        <v>461</v>
      </c>
      <c r="D750" s="4">
        <v>486</v>
      </c>
      <c r="E750" s="4">
        <v>486</v>
      </c>
      <c r="F750" s="4">
        <v>0</v>
      </c>
    </row>
    <row r="751" spans="1:6" x14ac:dyDescent="0.35">
      <c r="A751" s="2">
        <v>1483191107</v>
      </c>
      <c r="B751" s="6" t="s">
        <v>1132</v>
      </c>
      <c r="C751" s="2" t="s">
        <v>461</v>
      </c>
      <c r="D751" s="4">
        <v>486</v>
      </c>
      <c r="E751" s="4">
        <v>486</v>
      </c>
      <c r="F751" s="4">
        <v>0</v>
      </c>
    </row>
    <row r="752" spans="1:6" x14ac:dyDescent="0.35">
      <c r="A752" s="2">
        <v>1483191127</v>
      </c>
      <c r="B752" s="6" t="s">
        <v>1133</v>
      </c>
      <c r="C752" s="2" t="s">
        <v>461</v>
      </c>
      <c r="D752" s="4">
        <v>486</v>
      </c>
      <c r="E752" s="4">
        <v>486</v>
      </c>
      <c r="F752" s="4">
        <v>0</v>
      </c>
    </row>
    <row r="753" spans="1:6" x14ac:dyDescent="0.35">
      <c r="A753" s="2">
        <v>1483191157</v>
      </c>
      <c r="B753" s="6" t="s">
        <v>1134</v>
      </c>
      <c r="C753" s="2" t="s">
        <v>461</v>
      </c>
      <c r="D753" s="4">
        <v>486</v>
      </c>
      <c r="E753" s="4">
        <v>486</v>
      </c>
      <c r="F753" s="4">
        <v>0</v>
      </c>
    </row>
    <row r="754" spans="1:6" x14ac:dyDescent="0.35">
      <c r="A754" s="2">
        <v>1483191227</v>
      </c>
      <c r="B754" s="6" t="s">
        <v>1135</v>
      </c>
      <c r="C754" s="2" t="s">
        <v>461</v>
      </c>
      <c r="D754" s="4">
        <v>486</v>
      </c>
      <c r="E754" s="4">
        <v>486</v>
      </c>
      <c r="F754" s="4">
        <v>0</v>
      </c>
    </row>
    <row r="755" spans="1:6" x14ac:dyDescent="0.35">
      <c r="A755" s="2">
        <v>1483191337</v>
      </c>
      <c r="B755" s="6" t="s">
        <v>1136</v>
      </c>
      <c r="C755" s="2" t="s">
        <v>461</v>
      </c>
      <c r="D755" s="4">
        <v>486</v>
      </c>
      <c r="E755" s="4">
        <v>486</v>
      </c>
      <c r="F755" s="4">
        <v>0</v>
      </c>
    </row>
    <row r="756" spans="1:6" x14ac:dyDescent="0.35">
      <c r="A756" s="2">
        <v>1483191477</v>
      </c>
      <c r="B756" s="6" t="s">
        <v>1137</v>
      </c>
      <c r="C756" s="2" t="s">
        <v>461</v>
      </c>
      <c r="D756" s="4">
        <v>486</v>
      </c>
      <c r="E756" s="4">
        <v>486</v>
      </c>
      <c r="F756" s="4">
        <v>0</v>
      </c>
    </row>
    <row r="757" spans="1:6" x14ac:dyDescent="0.35">
      <c r="A757" s="2">
        <v>1483191686</v>
      </c>
      <c r="B757" s="6" t="s">
        <v>1138</v>
      </c>
      <c r="C757" s="2" t="s">
        <v>461</v>
      </c>
      <c r="D757" s="4">
        <v>486</v>
      </c>
      <c r="E757" s="4">
        <v>486</v>
      </c>
      <c r="F757" s="4">
        <v>0</v>
      </c>
    </row>
    <row r="758" spans="1:6" x14ac:dyDescent="0.35">
      <c r="A758" s="2">
        <v>1483192107</v>
      </c>
      <c r="B758" s="6" t="s">
        <v>1139</v>
      </c>
      <c r="C758" s="2" t="s">
        <v>461</v>
      </c>
      <c r="D758" s="4">
        <v>486</v>
      </c>
      <c r="E758" s="4">
        <v>486</v>
      </c>
      <c r="F758" s="4">
        <v>0</v>
      </c>
    </row>
    <row r="759" spans="1:6" x14ac:dyDescent="0.35">
      <c r="A759" s="2">
        <v>1483192156</v>
      </c>
      <c r="B759" s="6" t="s">
        <v>1140</v>
      </c>
      <c r="C759" s="2" t="s">
        <v>461</v>
      </c>
      <c r="D759" s="4">
        <v>486</v>
      </c>
      <c r="E759" s="4">
        <v>486</v>
      </c>
      <c r="F759" s="4">
        <v>0</v>
      </c>
    </row>
    <row r="760" spans="1:6" x14ac:dyDescent="0.35">
      <c r="A760" s="2">
        <v>1483192157</v>
      </c>
      <c r="B760" s="6" t="s">
        <v>1141</v>
      </c>
      <c r="C760" s="2" t="s">
        <v>461</v>
      </c>
      <c r="D760" s="4">
        <v>486</v>
      </c>
      <c r="E760" s="4">
        <v>486</v>
      </c>
      <c r="F760" s="4">
        <v>0</v>
      </c>
    </row>
    <row r="761" spans="1:6" x14ac:dyDescent="0.35">
      <c r="A761" s="2">
        <v>1483192226</v>
      </c>
      <c r="B761" s="6" t="s">
        <v>1142</v>
      </c>
      <c r="C761" s="2" t="s">
        <v>461</v>
      </c>
      <c r="D761" s="4">
        <v>486</v>
      </c>
      <c r="E761" s="4">
        <v>486</v>
      </c>
      <c r="F761" s="4">
        <v>0</v>
      </c>
    </row>
    <row r="762" spans="1:6" x14ac:dyDescent="0.35">
      <c r="A762" s="2">
        <v>1483192227</v>
      </c>
      <c r="B762" s="6" t="s">
        <v>1143</v>
      </c>
      <c r="C762" s="2" t="s">
        <v>461</v>
      </c>
      <c r="D762" s="4">
        <v>486</v>
      </c>
      <c r="E762" s="4">
        <v>486</v>
      </c>
      <c r="F762" s="4">
        <v>0</v>
      </c>
    </row>
    <row r="763" spans="1:6" x14ac:dyDescent="0.35">
      <c r="A763" s="2">
        <v>1483192336</v>
      </c>
      <c r="B763" s="6" t="s">
        <v>1144</v>
      </c>
      <c r="C763" s="2" t="s">
        <v>461</v>
      </c>
      <c r="D763" s="4">
        <v>486</v>
      </c>
      <c r="E763" s="4">
        <v>486</v>
      </c>
      <c r="F763" s="4">
        <v>0</v>
      </c>
    </row>
    <row r="764" spans="1:6" x14ac:dyDescent="0.35">
      <c r="A764" s="2">
        <v>1483192337</v>
      </c>
      <c r="B764" s="6" t="s">
        <v>1145</v>
      </c>
      <c r="C764" s="2" t="s">
        <v>461</v>
      </c>
      <c r="D764" s="4">
        <v>486</v>
      </c>
      <c r="E764" s="4">
        <v>486</v>
      </c>
      <c r="F764" s="4">
        <v>0</v>
      </c>
    </row>
    <row r="765" spans="1:6" x14ac:dyDescent="0.35">
      <c r="A765" s="2">
        <v>1483192476</v>
      </c>
      <c r="B765" s="6" t="s">
        <v>1146</v>
      </c>
      <c r="C765" s="2" t="s">
        <v>461</v>
      </c>
      <c r="D765" s="4">
        <v>486</v>
      </c>
      <c r="E765" s="4">
        <v>486</v>
      </c>
      <c r="F765" s="4">
        <v>0</v>
      </c>
    </row>
    <row r="766" spans="1:6" x14ac:dyDescent="0.35">
      <c r="A766" s="2">
        <v>1483192686</v>
      </c>
      <c r="B766" s="6" t="s">
        <v>1147</v>
      </c>
      <c r="C766" s="2" t="s">
        <v>461</v>
      </c>
      <c r="D766" s="4">
        <v>486</v>
      </c>
      <c r="E766" s="4">
        <v>486</v>
      </c>
      <c r="F766" s="4">
        <v>0</v>
      </c>
    </row>
    <row r="767" spans="1:6" x14ac:dyDescent="0.35">
      <c r="A767" s="2">
        <v>1483193106</v>
      </c>
      <c r="B767" s="6" t="s">
        <v>1148</v>
      </c>
      <c r="C767" s="2" t="s">
        <v>461</v>
      </c>
      <c r="D767" s="4">
        <v>486</v>
      </c>
      <c r="E767" s="4">
        <v>486</v>
      </c>
      <c r="F767" s="4">
        <v>0</v>
      </c>
    </row>
    <row r="768" spans="1:6" x14ac:dyDescent="0.35">
      <c r="A768" s="2">
        <v>1483193107</v>
      </c>
      <c r="B768" s="6" t="s">
        <v>1149</v>
      </c>
      <c r="C768" s="2" t="s">
        <v>461</v>
      </c>
      <c r="D768" s="4">
        <v>486</v>
      </c>
      <c r="E768" s="4">
        <v>486</v>
      </c>
      <c r="F768" s="4">
        <v>0</v>
      </c>
    </row>
    <row r="769" spans="1:6" x14ac:dyDescent="0.35">
      <c r="A769" s="2">
        <v>1483193156</v>
      </c>
      <c r="B769" s="6" t="s">
        <v>1150</v>
      </c>
      <c r="C769" s="2" t="s">
        <v>461</v>
      </c>
      <c r="D769" s="4">
        <v>486</v>
      </c>
      <c r="E769" s="4">
        <v>486</v>
      </c>
      <c r="F769" s="4">
        <v>0</v>
      </c>
    </row>
    <row r="770" spans="1:6" x14ac:dyDescent="0.35">
      <c r="A770" s="2">
        <v>1483193157</v>
      </c>
      <c r="B770" s="6" t="s">
        <v>1151</v>
      </c>
      <c r="C770" s="2" t="s">
        <v>461</v>
      </c>
      <c r="D770" s="4">
        <v>486</v>
      </c>
      <c r="E770" s="4">
        <v>486</v>
      </c>
      <c r="F770" s="4">
        <v>0</v>
      </c>
    </row>
    <row r="771" spans="1:6" x14ac:dyDescent="0.35">
      <c r="A771" s="2">
        <v>1483193226</v>
      </c>
      <c r="B771" s="6" t="s">
        <v>1152</v>
      </c>
      <c r="C771" s="2" t="s">
        <v>461</v>
      </c>
      <c r="D771" s="4">
        <v>486</v>
      </c>
      <c r="E771" s="4">
        <v>486</v>
      </c>
      <c r="F771" s="4">
        <v>0</v>
      </c>
    </row>
    <row r="772" spans="1:6" x14ac:dyDescent="0.35">
      <c r="A772" s="2">
        <v>1483193227</v>
      </c>
      <c r="B772" s="6" t="s">
        <v>1153</v>
      </c>
      <c r="C772" s="2" t="s">
        <v>461</v>
      </c>
      <c r="D772" s="4">
        <v>486</v>
      </c>
      <c r="E772" s="4">
        <v>486</v>
      </c>
      <c r="F772" s="4">
        <v>0</v>
      </c>
    </row>
    <row r="773" spans="1:6" x14ac:dyDescent="0.35">
      <c r="A773" s="2">
        <v>1483193336</v>
      </c>
      <c r="B773" s="6" t="s">
        <v>1154</v>
      </c>
      <c r="C773" s="2" t="s">
        <v>461</v>
      </c>
      <c r="D773" s="4">
        <v>486</v>
      </c>
      <c r="E773" s="4">
        <v>486</v>
      </c>
      <c r="F773" s="4">
        <v>0</v>
      </c>
    </row>
    <row r="774" spans="1:6" x14ac:dyDescent="0.35">
      <c r="A774" s="2">
        <v>1483193337</v>
      </c>
      <c r="B774" s="6" t="s">
        <v>1155</v>
      </c>
      <c r="C774" s="2" t="s">
        <v>461</v>
      </c>
      <c r="D774" s="4">
        <v>486</v>
      </c>
      <c r="E774" s="4">
        <v>486</v>
      </c>
      <c r="F774" s="4">
        <v>0</v>
      </c>
    </row>
    <row r="775" spans="1:6" x14ac:dyDescent="0.35">
      <c r="A775" s="2">
        <v>1483193476</v>
      </c>
      <c r="B775" s="6" t="s">
        <v>1156</v>
      </c>
      <c r="C775" s="2" t="s">
        <v>461</v>
      </c>
      <c r="D775" s="4">
        <v>486</v>
      </c>
      <c r="E775" s="4">
        <v>486</v>
      </c>
      <c r="F775" s="4">
        <v>0</v>
      </c>
    </row>
    <row r="776" spans="1:6" x14ac:dyDescent="0.35">
      <c r="A776" s="2">
        <v>1483193686</v>
      </c>
      <c r="B776" s="6" t="s">
        <v>1157</v>
      </c>
      <c r="C776" s="2" t="s">
        <v>461</v>
      </c>
      <c r="D776" s="4">
        <v>486</v>
      </c>
      <c r="E776" s="4">
        <v>486</v>
      </c>
      <c r="F776" s="4">
        <v>0</v>
      </c>
    </row>
    <row r="777" spans="1:6" x14ac:dyDescent="0.35">
      <c r="A777" s="2">
        <v>1483194106</v>
      </c>
      <c r="B777" s="6" t="s">
        <v>1158</v>
      </c>
      <c r="C777" s="2" t="s">
        <v>461</v>
      </c>
      <c r="D777" s="4">
        <v>486</v>
      </c>
      <c r="E777" s="4">
        <v>486</v>
      </c>
      <c r="F777" s="4">
        <v>0</v>
      </c>
    </row>
    <row r="778" spans="1:6" x14ac:dyDescent="0.35">
      <c r="A778" s="2">
        <v>1483194107</v>
      </c>
      <c r="B778" s="6" t="s">
        <v>1159</v>
      </c>
      <c r="C778" s="2" t="s">
        <v>461</v>
      </c>
      <c r="D778" s="4">
        <v>486</v>
      </c>
      <c r="E778" s="4">
        <v>486</v>
      </c>
      <c r="F778" s="4">
        <v>0</v>
      </c>
    </row>
    <row r="779" spans="1:6" x14ac:dyDescent="0.35">
      <c r="A779" s="2">
        <v>1483194156</v>
      </c>
      <c r="B779" s="6" t="s">
        <v>1160</v>
      </c>
      <c r="C779" s="2" t="s">
        <v>461</v>
      </c>
      <c r="D779" s="4">
        <v>486</v>
      </c>
      <c r="E779" s="4">
        <v>486</v>
      </c>
      <c r="F779" s="4">
        <v>0</v>
      </c>
    </row>
    <row r="780" spans="1:6" x14ac:dyDescent="0.35">
      <c r="A780" s="2">
        <v>1483194157</v>
      </c>
      <c r="B780" s="6" t="s">
        <v>1161</v>
      </c>
      <c r="C780" s="2" t="s">
        <v>461</v>
      </c>
      <c r="D780" s="4">
        <v>486</v>
      </c>
      <c r="E780" s="4">
        <v>486</v>
      </c>
      <c r="F780" s="4">
        <v>0</v>
      </c>
    </row>
    <row r="781" spans="1:6" x14ac:dyDescent="0.35">
      <c r="A781" s="2">
        <v>1483194226</v>
      </c>
      <c r="B781" s="6" t="s">
        <v>1162</v>
      </c>
      <c r="C781" s="2" t="s">
        <v>461</v>
      </c>
      <c r="D781" s="4">
        <v>486</v>
      </c>
      <c r="E781" s="4">
        <v>486</v>
      </c>
      <c r="F781" s="4">
        <v>0</v>
      </c>
    </row>
    <row r="782" spans="1:6" x14ac:dyDescent="0.35">
      <c r="A782" s="2">
        <v>1483194336</v>
      </c>
      <c r="B782" s="6" t="s">
        <v>1163</v>
      </c>
      <c r="C782" s="2" t="s">
        <v>461</v>
      </c>
      <c r="D782" s="4">
        <v>486</v>
      </c>
      <c r="E782" s="4">
        <v>486</v>
      </c>
      <c r="F782" s="4">
        <v>0</v>
      </c>
    </row>
    <row r="783" spans="1:6" x14ac:dyDescent="0.35">
      <c r="A783" s="2">
        <v>1483194476</v>
      </c>
      <c r="B783" s="6" t="s">
        <v>1164</v>
      </c>
      <c r="C783" s="2" t="s">
        <v>461</v>
      </c>
      <c r="D783" s="4">
        <v>486</v>
      </c>
      <c r="E783" s="4">
        <v>486</v>
      </c>
      <c r="F783" s="4">
        <v>0</v>
      </c>
    </row>
    <row r="784" spans="1:6" x14ac:dyDescent="0.35">
      <c r="A784" s="2">
        <v>1483194626</v>
      </c>
      <c r="B784" s="6" t="s">
        <v>1165</v>
      </c>
      <c r="C784" s="2" t="s">
        <v>461</v>
      </c>
      <c r="D784" s="4">
        <v>486</v>
      </c>
      <c r="E784" s="4">
        <v>486</v>
      </c>
      <c r="F784" s="4">
        <v>0</v>
      </c>
    </row>
    <row r="785" spans="1:6" x14ac:dyDescent="0.35">
      <c r="A785" s="2">
        <v>1483194685</v>
      </c>
      <c r="B785" s="6" t="s">
        <v>1166</v>
      </c>
      <c r="C785" s="2" t="s">
        <v>461</v>
      </c>
      <c r="D785" s="4">
        <v>486</v>
      </c>
      <c r="E785" s="4">
        <v>486</v>
      </c>
      <c r="F785" s="4">
        <v>0</v>
      </c>
    </row>
    <row r="786" spans="1:6" x14ac:dyDescent="0.35">
      <c r="A786" s="2">
        <v>1483194686</v>
      </c>
      <c r="B786" s="6" t="s">
        <v>1167</v>
      </c>
      <c r="C786" s="2" t="s">
        <v>461</v>
      </c>
      <c r="D786" s="4">
        <v>486</v>
      </c>
      <c r="E786" s="4">
        <v>486</v>
      </c>
      <c r="F786" s="4">
        <v>0</v>
      </c>
    </row>
    <row r="787" spans="1:6" x14ac:dyDescent="0.35">
      <c r="A787" s="2">
        <v>1483195106</v>
      </c>
      <c r="B787" s="6" t="s">
        <v>1168</v>
      </c>
      <c r="C787" s="2" t="s">
        <v>461</v>
      </c>
      <c r="D787" s="4">
        <v>486</v>
      </c>
      <c r="E787" s="4">
        <v>486</v>
      </c>
      <c r="F787" s="4">
        <v>0</v>
      </c>
    </row>
    <row r="788" spans="1:6" x14ac:dyDescent="0.35">
      <c r="A788" s="2">
        <v>1483195156</v>
      </c>
      <c r="B788" s="6" t="s">
        <v>1169</v>
      </c>
      <c r="C788" s="2" t="s">
        <v>461</v>
      </c>
      <c r="D788" s="4">
        <v>486</v>
      </c>
      <c r="E788" s="4">
        <v>486</v>
      </c>
      <c r="F788" s="4">
        <v>0</v>
      </c>
    </row>
    <row r="789" spans="1:6" x14ac:dyDescent="0.35">
      <c r="A789" s="2">
        <v>1483195226</v>
      </c>
      <c r="B789" s="6" t="s">
        <v>1170</v>
      </c>
      <c r="C789" s="2" t="s">
        <v>461</v>
      </c>
      <c r="D789" s="4">
        <v>486</v>
      </c>
      <c r="E789" s="4">
        <v>486</v>
      </c>
      <c r="F789" s="4">
        <v>0</v>
      </c>
    </row>
    <row r="790" spans="1:6" x14ac:dyDescent="0.35">
      <c r="A790" s="2">
        <v>1483195276</v>
      </c>
      <c r="B790" s="6" t="s">
        <v>1171</v>
      </c>
      <c r="C790" s="2" t="s">
        <v>461</v>
      </c>
      <c r="D790" s="4">
        <v>486</v>
      </c>
      <c r="E790" s="4">
        <v>486</v>
      </c>
      <c r="F790" s="4">
        <v>0</v>
      </c>
    </row>
    <row r="791" spans="1:6" x14ac:dyDescent="0.35">
      <c r="A791" s="2">
        <v>1483195336</v>
      </c>
      <c r="B791" s="6" t="s">
        <v>1172</v>
      </c>
      <c r="C791" s="2" t="s">
        <v>461</v>
      </c>
      <c r="D791" s="4">
        <v>486</v>
      </c>
      <c r="E791" s="4">
        <v>486</v>
      </c>
      <c r="F791" s="4">
        <v>0</v>
      </c>
    </row>
    <row r="792" spans="1:6" x14ac:dyDescent="0.35">
      <c r="A792" s="2">
        <v>1483195475</v>
      </c>
      <c r="B792" s="6" t="s">
        <v>1173</v>
      </c>
      <c r="C792" s="2" t="s">
        <v>461</v>
      </c>
      <c r="D792" s="4">
        <v>486</v>
      </c>
      <c r="E792" s="4">
        <v>486</v>
      </c>
      <c r="F792" s="4">
        <v>0</v>
      </c>
    </row>
    <row r="793" spans="1:6" x14ac:dyDescent="0.35">
      <c r="A793" s="2">
        <v>1483195476</v>
      </c>
      <c r="B793" s="6" t="s">
        <v>1174</v>
      </c>
      <c r="C793" s="2" t="s">
        <v>461</v>
      </c>
      <c r="D793" s="4">
        <v>486</v>
      </c>
      <c r="E793" s="4">
        <v>486</v>
      </c>
      <c r="F793" s="4">
        <v>0</v>
      </c>
    </row>
    <row r="794" spans="1:6" x14ac:dyDescent="0.35">
      <c r="A794" s="2">
        <v>1483195556</v>
      </c>
      <c r="B794" s="6" t="s">
        <v>1175</v>
      </c>
      <c r="C794" s="2" t="s">
        <v>461</v>
      </c>
      <c r="D794" s="4">
        <v>486</v>
      </c>
      <c r="E794" s="4">
        <v>486</v>
      </c>
      <c r="F794" s="4">
        <v>0</v>
      </c>
    </row>
    <row r="795" spans="1:6" x14ac:dyDescent="0.35">
      <c r="A795" s="2">
        <v>1483195685</v>
      </c>
      <c r="B795" s="6" t="s">
        <v>1176</v>
      </c>
      <c r="C795" s="2" t="s">
        <v>461</v>
      </c>
      <c r="D795" s="4">
        <v>486</v>
      </c>
      <c r="E795" s="4">
        <v>486</v>
      </c>
      <c r="F795" s="4">
        <v>0</v>
      </c>
    </row>
    <row r="796" spans="1:6" x14ac:dyDescent="0.35">
      <c r="A796" s="2">
        <v>1483196106</v>
      </c>
      <c r="B796" s="6" t="s">
        <v>1177</v>
      </c>
      <c r="C796" s="2" t="s">
        <v>461</v>
      </c>
      <c r="D796" s="4">
        <v>486</v>
      </c>
      <c r="E796" s="4">
        <v>486</v>
      </c>
      <c r="F796" s="4">
        <v>0</v>
      </c>
    </row>
    <row r="797" spans="1:6" x14ac:dyDescent="0.35">
      <c r="A797" s="2">
        <v>1483196156</v>
      </c>
      <c r="B797" s="6" t="s">
        <v>1178</v>
      </c>
      <c r="C797" s="2" t="s">
        <v>461</v>
      </c>
      <c r="D797" s="4">
        <v>486</v>
      </c>
      <c r="E797" s="4">
        <v>486</v>
      </c>
      <c r="F797" s="4">
        <v>0</v>
      </c>
    </row>
    <row r="798" spans="1:6" x14ac:dyDescent="0.35">
      <c r="A798" s="2">
        <v>1483196226</v>
      </c>
      <c r="B798" s="6" t="s">
        <v>1179</v>
      </c>
      <c r="C798" s="2" t="s">
        <v>461</v>
      </c>
      <c r="D798" s="4">
        <v>486</v>
      </c>
      <c r="E798" s="4">
        <v>486</v>
      </c>
      <c r="F798" s="4">
        <v>0</v>
      </c>
    </row>
    <row r="799" spans="1:6" x14ac:dyDescent="0.35">
      <c r="A799" s="2">
        <v>1483196336</v>
      </c>
      <c r="B799" s="6" t="s">
        <v>1180</v>
      </c>
      <c r="C799" s="2" t="s">
        <v>461</v>
      </c>
      <c r="D799" s="4">
        <v>486</v>
      </c>
      <c r="E799" s="4">
        <v>486</v>
      </c>
      <c r="F799" s="4">
        <v>0</v>
      </c>
    </row>
    <row r="800" spans="1:6" x14ac:dyDescent="0.35">
      <c r="A800" s="2">
        <v>1483196685</v>
      </c>
      <c r="B800" s="6" t="s">
        <v>1181</v>
      </c>
      <c r="C800" s="2" t="s">
        <v>461</v>
      </c>
      <c r="D800" s="4">
        <v>486</v>
      </c>
      <c r="E800" s="4">
        <v>486</v>
      </c>
      <c r="F800" s="4">
        <v>0</v>
      </c>
    </row>
    <row r="801" spans="1:6" x14ac:dyDescent="0.35">
      <c r="A801" s="2">
        <v>1483197106</v>
      </c>
      <c r="B801" s="6" t="s">
        <v>1182</v>
      </c>
      <c r="C801" s="2" t="s">
        <v>461</v>
      </c>
      <c r="D801" s="4">
        <v>486</v>
      </c>
      <c r="E801" s="4">
        <v>486</v>
      </c>
      <c r="F801" s="4">
        <v>0</v>
      </c>
    </row>
    <row r="802" spans="1:6" x14ac:dyDescent="0.35">
      <c r="A802" s="2">
        <v>1483197156</v>
      </c>
      <c r="B802" s="6" t="s">
        <v>1183</v>
      </c>
      <c r="C802" s="2" t="s">
        <v>461</v>
      </c>
      <c r="D802" s="4">
        <v>486</v>
      </c>
      <c r="E802" s="4">
        <v>486</v>
      </c>
      <c r="F802" s="4">
        <v>0</v>
      </c>
    </row>
    <row r="803" spans="1:6" x14ac:dyDescent="0.35">
      <c r="A803" s="2">
        <v>1483197226</v>
      </c>
      <c r="B803" s="6" t="s">
        <v>1184</v>
      </c>
      <c r="C803" s="2" t="s">
        <v>461</v>
      </c>
      <c r="D803" s="4">
        <v>486</v>
      </c>
      <c r="E803" s="4">
        <v>486</v>
      </c>
      <c r="F803" s="4">
        <v>0</v>
      </c>
    </row>
    <row r="804" spans="1:6" x14ac:dyDescent="0.35">
      <c r="A804" s="2">
        <v>1483197336</v>
      </c>
      <c r="B804" s="6" t="s">
        <v>1185</v>
      </c>
      <c r="C804" s="2" t="s">
        <v>461</v>
      </c>
      <c r="D804" s="4">
        <v>420</v>
      </c>
      <c r="E804" s="4">
        <v>420</v>
      </c>
    </row>
    <row r="805" spans="1:6" x14ac:dyDescent="0.35">
      <c r="A805" s="2">
        <v>1483197475</v>
      </c>
      <c r="B805" s="6" t="s">
        <v>1186</v>
      </c>
      <c r="C805" s="2" t="s">
        <v>461</v>
      </c>
      <c r="D805" s="4">
        <v>486</v>
      </c>
      <c r="E805" s="4">
        <v>486</v>
      </c>
      <c r="F805" s="4">
        <v>0</v>
      </c>
    </row>
    <row r="806" spans="1:6" x14ac:dyDescent="0.35">
      <c r="A806" s="2">
        <v>1483197685</v>
      </c>
      <c r="B806" s="6" t="s">
        <v>1187</v>
      </c>
      <c r="C806" s="2" t="s">
        <v>461</v>
      </c>
      <c r="D806" s="4">
        <v>486</v>
      </c>
      <c r="E806" s="4">
        <v>486</v>
      </c>
      <c r="F806" s="4">
        <v>0</v>
      </c>
    </row>
    <row r="807" spans="1:6" x14ac:dyDescent="0.35">
      <c r="A807" s="2">
        <v>1483198106</v>
      </c>
      <c r="B807" s="6" t="s">
        <v>1188</v>
      </c>
      <c r="C807" s="2" t="s">
        <v>461</v>
      </c>
      <c r="D807" s="4">
        <v>486</v>
      </c>
      <c r="E807" s="4">
        <v>486</v>
      </c>
      <c r="F807" s="4">
        <v>0</v>
      </c>
    </row>
    <row r="808" spans="1:6" x14ac:dyDescent="0.35">
      <c r="A808" s="2">
        <v>1483198156</v>
      </c>
      <c r="B808" s="6" t="s">
        <v>1189</v>
      </c>
      <c r="C808" s="2" t="s">
        <v>461</v>
      </c>
      <c r="D808" s="4">
        <v>486</v>
      </c>
      <c r="E808" s="4">
        <v>486</v>
      </c>
      <c r="F808" s="4">
        <v>0</v>
      </c>
    </row>
    <row r="809" spans="1:6" x14ac:dyDescent="0.35">
      <c r="A809" s="2">
        <v>1483198685</v>
      </c>
      <c r="B809" s="6" t="s">
        <v>1190</v>
      </c>
      <c r="C809" s="2" t="s">
        <v>461</v>
      </c>
      <c r="D809" s="4">
        <v>486</v>
      </c>
      <c r="E809" s="4">
        <v>486</v>
      </c>
      <c r="F809" s="4">
        <v>0</v>
      </c>
    </row>
    <row r="810" spans="1:6" x14ac:dyDescent="0.35">
      <c r="A810" s="2">
        <v>1487182157</v>
      </c>
      <c r="B810" s="6" t="s">
        <v>1191</v>
      </c>
      <c r="C810" s="2" t="s">
        <v>461</v>
      </c>
      <c r="D810" s="4">
        <v>486</v>
      </c>
      <c r="E810" s="4">
        <v>486</v>
      </c>
      <c r="F810" s="4">
        <v>0</v>
      </c>
    </row>
    <row r="811" spans="1:6" x14ac:dyDescent="0.35">
      <c r="A811" s="2">
        <v>1487183137</v>
      </c>
      <c r="B811" s="6" t="s">
        <v>1192</v>
      </c>
      <c r="C811" s="2" t="s">
        <v>461</v>
      </c>
      <c r="D811" s="4">
        <v>486</v>
      </c>
      <c r="E811" s="4">
        <v>486</v>
      </c>
      <c r="F811" s="4">
        <v>0</v>
      </c>
    </row>
    <row r="812" spans="1:6" x14ac:dyDescent="0.35">
      <c r="A812" s="2">
        <v>1487183157</v>
      </c>
      <c r="B812" s="6" t="s">
        <v>1193</v>
      </c>
      <c r="C812" s="2" t="s">
        <v>461</v>
      </c>
      <c r="D812" s="4">
        <v>486</v>
      </c>
      <c r="E812" s="4">
        <v>486</v>
      </c>
      <c r="F812" s="4">
        <v>0</v>
      </c>
    </row>
    <row r="813" spans="1:6" x14ac:dyDescent="0.35">
      <c r="A813" s="2">
        <v>1487183337</v>
      </c>
      <c r="B813" s="6" t="s">
        <v>1192</v>
      </c>
      <c r="C813" s="2" t="s">
        <v>461</v>
      </c>
      <c r="D813" s="4">
        <v>486</v>
      </c>
      <c r="E813" s="4">
        <v>486</v>
      </c>
      <c r="F813" s="4">
        <v>0</v>
      </c>
    </row>
    <row r="814" spans="1:6" x14ac:dyDescent="0.35">
      <c r="A814" s="2">
        <v>1487183476</v>
      </c>
      <c r="B814" s="6" t="s">
        <v>1194</v>
      </c>
      <c r="C814" s="2" t="s">
        <v>461</v>
      </c>
      <c r="D814" s="4">
        <v>486</v>
      </c>
      <c r="E814" s="4">
        <v>486</v>
      </c>
      <c r="F814" s="4">
        <v>0</v>
      </c>
    </row>
    <row r="815" spans="1:6" x14ac:dyDescent="0.35">
      <c r="A815" s="2">
        <v>1487184336</v>
      </c>
      <c r="B815" s="6" t="s">
        <v>1195</v>
      </c>
      <c r="C815" s="2" t="s">
        <v>461</v>
      </c>
      <c r="D815" s="4">
        <v>486</v>
      </c>
      <c r="E815" s="4">
        <v>486</v>
      </c>
      <c r="F815" s="4">
        <v>0</v>
      </c>
    </row>
    <row r="816" spans="1:6" x14ac:dyDescent="0.35">
      <c r="A816" s="2">
        <v>1487186225</v>
      </c>
      <c r="B816" s="6" t="s">
        <v>1196</v>
      </c>
      <c r="C816" s="2" t="s">
        <v>461</v>
      </c>
      <c r="D816" s="4">
        <v>486</v>
      </c>
      <c r="E816" s="4">
        <v>486</v>
      </c>
      <c r="F816" s="4">
        <v>0</v>
      </c>
    </row>
    <row r="817" spans="1:6" x14ac:dyDescent="0.35">
      <c r="A817" s="2">
        <v>1487187106</v>
      </c>
      <c r="B817" s="6" t="s">
        <v>1197</v>
      </c>
      <c r="C817" s="2" t="s">
        <v>461</v>
      </c>
      <c r="D817" s="4">
        <v>486</v>
      </c>
      <c r="E817" s="4">
        <v>486</v>
      </c>
      <c r="F817" s="4">
        <v>0</v>
      </c>
    </row>
    <row r="818" spans="1:6" x14ac:dyDescent="0.35">
      <c r="A818" s="2">
        <v>1487195336</v>
      </c>
      <c r="B818" s="6" t="s">
        <v>1198</v>
      </c>
      <c r="C818" s="2" t="s">
        <v>461</v>
      </c>
      <c r="D818" s="4">
        <v>486</v>
      </c>
      <c r="E818" s="4">
        <v>486</v>
      </c>
      <c r="F818" s="4">
        <v>0</v>
      </c>
    </row>
    <row r="819" spans="1:6" x14ac:dyDescent="0.35">
      <c r="A819" s="2">
        <v>1487215336</v>
      </c>
      <c r="B819" s="6" t="s">
        <v>1199</v>
      </c>
      <c r="C819" s="2" t="s">
        <v>461</v>
      </c>
      <c r="D819" s="4">
        <v>486</v>
      </c>
      <c r="E819" s="4">
        <v>486</v>
      </c>
      <c r="F819" s="4">
        <v>0</v>
      </c>
    </row>
    <row r="820" spans="1:6" x14ac:dyDescent="0.35">
      <c r="A820" s="2">
        <v>1487265226</v>
      </c>
      <c r="B820" s="6" t="s">
        <v>1200</v>
      </c>
      <c r="C820" s="2" t="s">
        <v>461</v>
      </c>
      <c r="D820" s="4">
        <v>486</v>
      </c>
      <c r="E820" s="4">
        <v>486</v>
      </c>
      <c r="F820" s="4">
        <v>0</v>
      </c>
    </row>
    <row r="821" spans="1:6" x14ac:dyDescent="0.35">
      <c r="A821" s="2">
        <v>1489180336</v>
      </c>
      <c r="B821" s="6" t="s">
        <v>1201</v>
      </c>
      <c r="C821" s="2" t="s">
        <v>461</v>
      </c>
      <c r="D821" s="4">
        <v>486</v>
      </c>
      <c r="E821" s="4">
        <v>486</v>
      </c>
      <c r="F821" s="4">
        <v>0</v>
      </c>
    </row>
    <row r="822" spans="1:6" x14ac:dyDescent="0.35">
      <c r="A822" s="2">
        <v>1489182107</v>
      </c>
      <c r="B822" s="6" t="s">
        <v>1202</v>
      </c>
      <c r="C822" s="2" t="s">
        <v>461</v>
      </c>
      <c r="D822" s="4">
        <v>486</v>
      </c>
      <c r="E822" s="4">
        <v>486</v>
      </c>
      <c r="F822" s="4">
        <v>0</v>
      </c>
    </row>
    <row r="823" spans="1:6" x14ac:dyDescent="0.35">
      <c r="A823" s="2">
        <v>1489183107</v>
      </c>
      <c r="B823" s="6" t="s">
        <v>1203</v>
      </c>
      <c r="C823" s="2" t="s">
        <v>461</v>
      </c>
      <c r="D823" s="4">
        <v>486</v>
      </c>
      <c r="E823" s="4">
        <v>486</v>
      </c>
      <c r="F823" s="4">
        <v>0</v>
      </c>
    </row>
    <row r="824" spans="1:6" x14ac:dyDescent="0.35">
      <c r="A824" s="2">
        <v>1489184226</v>
      </c>
      <c r="B824" s="6" t="s">
        <v>1204</v>
      </c>
      <c r="C824" s="2" t="s">
        <v>461</v>
      </c>
      <c r="D824" s="4">
        <v>486</v>
      </c>
      <c r="E824" s="4">
        <v>486</v>
      </c>
      <c r="F824" s="4">
        <v>0</v>
      </c>
    </row>
    <row r="825" spans="1:6" x14ac:dyDescent="0.35">
      <c r="A825" s="2">
        <v>1489184476</v>
      </c>
      <c r="B825" s="6" t="s">
        <v>1205</v>
      </c>
      <c r="C825" s="2" t="s">
        <v>461</v>
      </c>
      <c r="D825" s="4">
        <v>486</v>
      </c>
      <c r="E825" s="4">
        <v>486</v>
      </c>
      <c r="F825" s="4">
        <v>0</v>
      </c>
    </row>
    <row r="826" spans="1:6" x14ac:dyDescent="0.35">
      <c r="A826" s="2">
        <v>1489185396</v>
      </c>
      <c r="B826" s="6" t="s">
        <v>1206</v>
      </c>
      <c r="C826" s="2" t="s">
        <v>461</v>
      </c>
      <c r="D826" s="4">
        <v>486</v>
      </c>
      <c r="E826" s="4">
        <v>486</v>
      </c>
      <c r="F826" s="4">
        <v>0</v>
      </c>
    </row>
    <row r="827" spans="1:6" x14ac:dyDescent="0.35">
      <c r="A827" s="2">
        <v>1489215566</v>
      </c>
      <c r="B827" s="6" t="s">
        <v>1207</v>
      </c>
      <c r="C827" s="2" t="s">
        <v>461</v>
      </c>
      <c r="D827" s="4">
        <v>486</v>
      </c>
      <c r="E827" s="4">
        <v>486</v>
      </c>
      <c r="F827" s="4">
        <v>0</v>
      </c>
    </row>
    <row r="828" spans="1:6" x14ac:dyDescent="0.35">
      <c r="A828" s="2">
        <v>2212010402</v>
      </c>
      <c r="B828" s="6" t="s">
        <v>1208</v>
      </c>
      <c r="C828" s="2" t="s">
        <v>461</v>
      </c>
      <c r="D828" s="4">
        <v>0.42579</v>
      </c>
      <c r="E828" s="4">
        <v>0.29507</v>
      </c>
      <c r="F828" s="4">
        <v>1.2700000000000001E-3</v>
      </c>
    </row>
    <row r="829" spans="1:6" x14ac:dyDescent="0.35">
      <c r="A829" s="2">
        <v>2212010907</v>
      </c>
      <c r="B829" s="6" t="s">
        <v>1209</v>
      </c>
      <c r="C829" s="2" t="s">
        <v>461</v>
      </c>
      <c r="D829" s="4">
        <v>0.41119</v>
      </c>
      <c r="E829" s="4">
        <v>0.28160000000000002</v>
      </c>
      <c r="F829" s="4">
        <v>1.3999999999999999E-4</v>
      </c>
    </row>
    <row r="830" spans="1:6" x14ac:dyDescent="0.35">
      <c r="A830" s="2">
        <v>2212013501</v>
      </c>
      <c r="B830" s="6" t="s">
        <v>1210</v>
      </c>
      <c r="C830" s="2" t="s">
        <v>461</v>
      </c>
      <c r="D830" s="4">
        <v>0.40795999999999999</v>
      </c>
      <c r="E830" s="4">
        <v>0.27837000000000001</v>
      </c>
      <c r="F830" s="4">
        <v>1.3999999999999999E-4</v>
      </c>
    </row>
    <row r="831" spans="1:6" x14ac:dyDescent="0.35">
      <c r="A831" s="2">
        <v>2212013605</v>
      </c>
      <c r="B831" s="6" t="s">
        <v>1211</v>
      </c>
      <c r="C831" s="2" t="s">
        <v>461</v>
      </c>
      <c r="D831" s="4">
        <v>0.68584000000000001</v>
      </c>
      <c r="E831" s="4">
        <v>0.55625000000000002</v>
      </c>
      <c r="F831" s="4">
        <v>1.3999999999999999E-4</v>
      </c>
    </row>
    <row r="832" spans="1:6" x14ac:dyDescent="0.35">
      <c r="A832" s="2">
        <v>2212013901</v>
      </c>
      <c r="B832" s="6" t="s">
        <v>1212</v>
      </c>
      <c r="C832" s="2" t="s">
        <v>461</v>
      </c>
      <c r="D832" s="4">
        <v>0.62478</v>
      </c>
      <c r="E832" s="4">
        <v>0.49508999999999997</v>
      </c>
      <c r="F832" s="4">
        <v>2.4000000000000001E-4</v>
      </c>
    </row>
    <row r="833" spans="1:6" x14ac:dyDescent="0.35">
      <c r="A833" s="2">
        <v>2212015201</v>
      </c>
      <c r="B833" s="6" t="e">
        <v>#N/A</v>
      </c>
      <c r="C833" s="2" t="e">
        <v>#N/A</v>
      </c>
      <c r="D833" s="4">
        <v>0.56045</v>
      </c>
      <c r="E833" s="4">
        <v>0.32839000000000002</v>
      </c>
      <c r="F833" s="4">
        <v>1.362E-2</v>
      </c>
    </row>
    <row r="834" spans="1:6" x14ac:dyDescent="0.35">
      <c r="A834" s="2">
        <v>2212130901</v>
      </c>
      <c r="B834" s="6" t="s">
        <v>1213</v>
      </c>
      <c r="C834" s="2" t="s">
        <v>461</v>
      </c>
      <c r="D834" s="4">
        <v>0.66837999999999997</v>
      </c>
      <c r="E834" s="4">
        <v>0.53859999999999997</v>
      </c>
      <c r="F834" s="4">
        <v>3.3E-4</v>
      </c>
    </row>
    <row r="835" spans="1:6" x14ac:dyDescent="0.35">
      <c r="A835" s="2">
        <v>2212130902</v>
      </c>
      <c r="B835" s="6" t="s">
        <v>1214</v>
      </c>
      <c r="C835" s="2" t="s">
        <v>461</v>
      </c>
      <c r="D835" s="4">
        <v>0.66837999999999997</v>
      </c>
      <c r="E835" s="4">
        <v>0.53859999999999997</v>
      </c>
      <c r="F835" s="4">
        <v>3.3E-4</v>
      </c>
    </row>
    <row r="836" spans="1:6" x14ac:dyDescent="0.35">
      <c r="A836" s="2">
        <v>2212170902</v>
      </c>
      <c r="B836" s="6" t="s">
        <v>1215</v>
      </c>
      <c r="C836" s="2" t="s">
        <v>461</v>
      </c>
      <c r="D836" s="4">
        <v>0.28401999999999999</v>
      </c>
      <c r="E836" s="4">
        <v>0.15445999999999999</v>
      </c>
      <c r="F836" s="4">
        <v>1.1E-4</v>
      </c>
    </row>
    <row r="837" spans="1:6" x14ac:dyDescent="0.35">
      <c r="A837" s="2">
        <v>2212170904</v>
      </c>
      <c r="B837" s="6" t="s">
        <v>1216</v>
      </c>
      <c r="C837" s="2" t="s">
        <v>461</v>
      </c>
      <c r="D837" s="4">
        <v>0.28092</v>
      </c>
      <c r="E837" s="4">
        <v>0.15135999999999999</v>
      </c>
      <c r="F837" s="4">
        <v>1.1E-4</v>
      </c>
    </row>
    <row r="838" spans="1:6" x14ac:dyDescent="0.35">
      <c r="A838" s="2">
        <v>2212170905</v>
      </c>
      <c r="B838" s="6" t="s">
        <v>1217</v>
      </c>
      <c r="C838" s="2" t="s">
        <v>461</v>
      </c>
      <c r="D838" s="4">
        <v>0.27338000000000001</v>
      </c>
      <c r="E838" s="4">
        <v>0.14384</v>
      </c>
      <c r="F838" s="4">
        <v>9.0000000000000006E-5</v>
      </c>
    </row>
    <row r="839" spans="1:6" x14ac:dyDescent="0.35">
      <c r="A839" s="2">
        <v>2212170906</v>
      </c>
      <c r="B839" s="6" t="s">
        <v>1218</v>
      </c>
      <c r="C839" s="2" t="s">
        <v>461</v>
      </c>
      <c r="D839" s="4">
        <v>0.27646999999999999</v>
      </c>
      <c r="E839" s="4">
        <v>0.14693000000000001</v>
      </c>
      <c r="F839" s="4">
        <v>9.0000000000000006E-5</v>
      </c>
    </row>
    <row r="840" spans="1:6" x14ac:dyDescent="0.35">
      <c r="A840" s="2">
        <v>2212170907</v>
      </c>
      <c r="B840" s="6" t="e">
        <v>#N/A</v>
      </c>
      <c r="C840" s="2" t="e">
        <v>#N/A</v>
      </c>
      <c r="D840" s="4">
        <v>0.30819000000000002</v>
      </c>
      <c r="E840" s="4">
        <v>0.17857999999999999</v>
      </c>
      <c r="F840" s="4">
        <v>1.6000000000000001E-4</v>
      </c>
    </row>
    <row r="841" spans="1:6" x14ac:dyDescent="0.35">
      <c r="A841" s="2">
        <v>2212170908</v>
      </c>
      <c r="B841" s="6" t="e">
        <v>#N/A</v>
      </c>
      <c r="C841" s="2" t="e">
        <v>#N/A</v>
      </c>
      <c r="D841" s="4">
        <v>0.30854999999999999</v>
      </c>
      <c r="E841" s="4">
        <v>0.17893999999999999</v>
      </c>
      <c r="F841" s="4">
        <v>1.6000000000000001E-4</v>
      </c>
    </row>
    <row r="842" spans="1:6" x14ac:dyDescent="0.35">
      <c r="A842" s="2">
        <v>2212170909</v>
      </c>
      <c r="B842" s="6" t="e">
        <v>#N/A</v>
      </c>
      <c r="C842" s="2" t="e">
        <v>#N/A</v>
      </c>
      <c r="D842" s="4">
        <v>0.31163999999999997</v>
      </c>
      <c r="E842" s="4">
        <v>0.18203</v>
      </c>
      <c r="F842" s="4">
        <v>1.6000000000000001E-4</v>
      </c>
    </row>
    <row r="843" spans="1:6" x14ac:dyDescent="0.35">
      <c r="A843" s="2">
        <v>2212171303</v>
      </c>
      <c r="B843" s="6" t="s">
        <v>1219</v>
      </c>
      <c r="C843" s="2" t="s">
        <v>461</v>
      </c>
      <c r="D843" s="4">
        <v>0.32412000000000002</v>
      </c>
      <c r="E843" s="4">
        <v>0.18756</v>
      </c>
      <c r="F843" s="4">
        <v>7.11E-3</v>
      </c>
    </row>
    <row r="844" spans="1:6" x14ac:dyDescent="0.35">
      <c r="A844" s="2">
        <v>2212171304</v>
      </c>
      <c r="B844" s="6" t="s">
        <v>1220</v>
      </c>
      <c r="C844" s="2" t="s">
        <v>461</v>
      </c>
      <c r="D844" s="4">
        <v>0.36484</v>
      </c>
      <c r="E844" s="4">
        <v>0.22819999999999999</v>
      </c>
      <c r="F844" s="4">
        <v>7.1900000000000002E-3</v>
      </c>
    </row>
    <row r="845" spans="1:6" x14ac:dyDescent="0.35">
      <c r="A845" s="2">
        <v>2212171305</v>
      </c>
      <c r="B845" s="6" t="s">
        <v>1221</v>
      </c>
      <c r="C845" s="2" t="s">
        <v>461</v>
      </c>
      <c r="D845" s="4">
        <v>0.31657000000000002</v>
      </c>
      <c r="E845" s="4">
        <v>0.18003</v>
      </c>
      <c r="F845" s="4">
        <v>7.0899999999999999E-3</v>
      </c>
    </row>
    <row r="846" spans="1:6" x14ac:dyDescent="0.35">
      <c r="A846" s="2">
        <v>2212171306</v>
      </c>
      <c r="B846" s="6" t="e">
        <v>#N/A</v>
      </c>
      <c r="C846" s="2" t="e">
        <v>#N/A</v>
      </c>
      <c r="D846" s="4">
        <v>0.35149999999999998</v>
      </c>
      <c r="E846" s="4">
        <v>0.21489</v>
      </c>
      <c r="F846" s="4">
        <v>7.1599999999999997E-3</v>
      </c>
    </row>
    <row r="847" spans="1:6" x14ac:dyDescent="0.35">
      <c r="A847" s="2">
        <v>2212171307</v>
      </c>
      <c r="B847" s="6" t="e">
        <v>#N/A</v>
      </c>
      <c r="C847" s="2" t="e">
        <v>#N/A</v>
      </c>
      <c r="D847" s="4">
        <v>0.35149999999999998</v>
      </c>
      <c r="E847" s="4">
        <v>0.21489</v>
      </c>
      <c r="F847" s="4">
        <v>7.1599999999999997E-3</v>
      </c>
    </row>
    <row r="848" spans="1:6" x14ac:dyDescent="0.35">
      <c r="A848" s="2">
        <v>2212171803</v>
      </c>
      <c r="B848" s="6" t="s">
        <v>1222</v>
      </c>
      <c r="C848" s="2" t="s">
        <v>461</v>
      </c>
      <c r="D848" s="4">
        <v>0.31445000000000001</v>
      </c>
      <c r="E848" s="4">
        <v>0.18489</v>
      </c>
      <c r="F848" s="4">
        <v>1.1E-4</v>
      </c>
    </row>
    <row r="849" spans="1:6" x14ac:dyDescent="0.35">
      <c r="A849" s="2">
        <v>2212171804</v>
      </c>
      <c r="B849" s="6" t="s">
        <v>1223</v>
      </c>
      <c r="C849" s="2" t="s">
        <v>461</v>
      </c>
      <c r="D849" s="4">
        <v>0.30690000000000001</v>
      </c>
      <c r="E849" s="4">
        <v>0.17735999999999999</v>
      </c>
      <c r="F849" s="4">
        <v>9.0000000000000006E-5</v>
      </c>
    </row>
    <row r="850" spans="1:6" x14ac:dyDescent="0.35">
      <c r="A850" s="2">
        <v>2212171805</v>
      </c>
      <c r="B850" s="6" t="e">
        <v>#N/A</v>
      </c>
      <c r="C850" s="2" t="e">
        <v>#N/A</v>
      </c>
      <c r="D850" s="4">
        <v>0.34206999999999999</v>
      </c>
      <c r="E850" s="4">
        <v>0.21246000000000001</v>
      </c>
      <c r="F850" s="4">
        <v>1.6000000000000001E-4</v>
      </c>
    </row>
    <row r="851" spans="1:6" x14ac:dyDescent="0.35">
      <c r="A851" s="2">
        <v>2212174002</v>
      </c>
      <c r="B851" s="6" t="s">
        <v>1224</v>
      </c>
      <c r="C851" s="2" t="s">
        <v>461</v>
      </c>
      <c r="D851" s="4">
        <v>0.33056999999999997</v>
      </c>
      <c r="E851" s="4">
        <v>0.20100999999999999</v>
      </c>
      <c r="F851" s="4">
        <v>1.1E-4</v>
      </c>
    </row>
    <row r="852" spans="1:6" x14ac:dyDescent="0.35">
      <c r="A852" s="2">
        <v>2212181308</v>
      </c>
      <c r="B852" s="6" t="s">
        <v>1225</v>
      </c>
      <c r="C852" s="2" t="s">
        <v>461</v>
      </c>
      <c r="D852" s="4">
        <v>0.52768999999999999</v>
      </c>
      <c r="E852" s="4">
        <v>0.38285999999999998</v>
      </c>
      <c r="F852" s="4">
        <v>1.538E-2</v>
      </c>
    </row>
    <row r="853" spans="1:6" x14ac:dyDescent="0.35">
      <c r="A853" s="2">
        <v>2212184004</v>
      </c>
      <c r="B853" s="6" t="s">
        <v>1226</v>
      </c>
      <c r="C853" s="2" t="s">
        <v>461</v>
      </c>
      <c r="D853" s="4">
        <v>0.54179999999999995</v>
      </c>
      <c r="E853" s="4">
        <v>0.41216999999999998</v>
      </c>
      <c r="F853" s="4">
        <v>1.8000000000000001E-4</v>
      </c>
    </row>
    <row r="854" spans="1:6" x14ac:dyDescent="0.35">
      <c r="A854" s="2">
        <v>2212184005</v>
      </c>
      <c r="B854" s="6" t="s">
        <v>1227</v>
      </c>
      <c r="C854" s="2" t="s">
        <v>461</v>
      </c>
      <c r="D854" s="4">
        <v>0.52098999999999995</v>
      </c>
      <c r="E854" s="4">
        <v>0.39140000000000003</v>
      </c>
      <c r="F854" s="4">
        <v>1.3999999999999999E-4</v>
      </c>
    </row>
    <row r="855" spans="1:6" x14ac:dyDescent="0.35">
      <c r="A855" s="2">
        <v>2212190402</v>
      </c>
      <c r="B855" s="6" t="s">
        <v>1228</v>
      </c>
      <c r="C855" s="2" t="s">
        <v>461</v>
      </c>
      <c r="D855" s="4">
        <v>0.69330999999999998</v>
      </c>
      <c r="E855" s="4">
        <v>0.56127000000000005</v>
      </c>
      <c r="F855" s="4">
        <v>2.5899999999999999E-3</v>
      </c>
    </row>
    <row r="856" spans="1:6" x14ac:dyDescent="0.35">
      <c r="A856" s="2">
        <v>2212190906</v>
      </c>
      <c r="B856" s="6" t="s">
        <v>1229</v>
      </c>
      <c r="C856" s="2" t="s">
        <v>461</v>
      </c>
      <c r="D856" s="4">
        <v>1.01451</v>
      </c>
      <c r="E856" s="4">
        <v>0.88439999999999996</v>
      </c>
      <c r="F856" s="4">
        <v>6.6E-4</v>
      </c>
    </row>
    <row r="857" spans="1:6" x14ac:dyDescent="0.35">
      <c r="A857" s="2">
        <v>2212190907</v>
      </c>
      <c r="B857" s="6" t="s">
        <v>1230</v>
      </c>
      <c r="C857" s="2" t="s">
        <v>461</v>
      </c>
      <c r="D857" s="4">
        <v>0.66500999999999999</v>
      </c>
      <c r="E857" s="4">
        <v>0.53542000000000001</v>
      </c>
      <c r="F857" s="4">
        <v>1.3999999999999999E-4</v>
      </c>
    </row>
    <row r="858" spans="1:6" x14ac:dyDescent="0.35">
      <c r="A858" s="2">
        <v>2212190908</v>
      </c>
      <c r="B858" s="6" t="s">
        <v>1231</v>
      </c>
      <c r="C858" s="2" t="s">
        <v>461</v>
      </c>
      <c r="D858" s="4">
        <v>0.78917000000000004</v>
      </c>
      <c r="E858" s="4">
        <v>0.65939000000000003</v>
      </c>
      <c r="F858" s="4">
        <v>3.3E-4</v>
      </c>
    </row>
    <row r="859" spans="1:6" x14ac:dyDescent="0.35">
      <c r="A859" s="2">
        <v>2212191605</v>
      </c>
      <c r="B859" s="6" t="s">
        <v>1232</v>
      </c>
      <c r="C859" s="2" t="s">
        <v>461</v>
      </c>
      <c r="D859" s="4">
        <v>0.71860999999999997</v>
      </c>
      <c r="E859" s="4">
        <v>0.58901999999999999</v>
      </c>
      <c r="F859" s="4">
        <v>1.3999999999999999E-4</v>
      </c>
    </row>
    <row r="860" spans="1:6" x14ac:dyDescent="0.35">
      <c r="A860" s="2">
        <v>2212191816</v>
      </c>
      <c r="B860" s="6" t="s">
        <v>1233</v>
      </c>
      <c r="C860" s="2" t="s">
        <v>461</v>
      </c>
      <c r="D860" s="4">
        <v>0.88934999999999997</v>
      </c>
      <c r="E860" s="4">
        <v>0.75956999999999997</v>
      </c>
      <c r="F860" s="4">
        <v>3.3E-4</v>
      </c>
    </row>
    <row r="861" spans="1:6" x14ac:dyDescent="0.35">
      <c r="A861" s="2">
        <v>2212191818</v>
      </c>
      <c r="B861" s="6" t="s">
        <v>1234</v>
      </c>
      <c r="C861" s="2" t="s">
        <v>461</v>
      </c>
      <c r="D861" s="4">
        <v>0.88934999999999997</v>
      </c>
      <c r="E861" s="4">
        <v>0.75956999999999997</v>
      </c>
      <c r="F861" s="4">
        <v>3.3E-4</v>
      </c>
    </row>
    <row r="862" spans="1:6" x14ac:dyDescent="0.35">
      <c r="A862" s="2">
        <v>2212191825</v>
      </c>
      <c r="B862" s="6" t="s">
        <v>1235</v>
      </c>
      <c r="C862" s="2" t="s">
        <v>461</v>
      </c>
      <c r="D862" s="4">
        <v>0.88934999999999997</v>
      </c>
      <c r="E862" s="4">
        <v>0.75956999999999997</v>
      </c>
      <c r="F862" s="4">
        <v>3.3E-4</v>
      </c>
    </row>
    <row r="863" spans="1:6" x14ac:dyDescent="0.35">
      <c r="A863" s="2">
        <v>2212191826</v>
      </c>
      <c r="B863" s="6" t="s">
        <v>1236</v>
      </c>
      <c r="C863" s="2" t="s">
        <v>461</v>
      </c>
      <c r="D863" s="4">
        <v>0.88934999999999997</v>
      </c>
      <c r="E863" s="4">
        <v>0.75956999999999997</v>
      </c>
      <c r="F863" s="4">
        <v>3.3E-4</v>
      </c>
    </row>
    <row r="864" spans="1:6" x14ac:dyDescent="0.35">
      <c r="A864" s="2">
        <v>2212191827</v>
      </c>
      <c r="B864" s="6" t="s">
        <v>1237</v>
      </c>
      <c r="C864" s="2" t="s">
        <v>461</v>
      </c>
      <c r="D864" s="4">
        <v>0.92347000000000001</v>
      </c>
      <c r="E864" s="4">
        <v>0.79369000000000001</v>
      </c>
      <c r="F864" s="4">
        <v>3.3E-4</v>
      </c>
    </row>
    <row r="865" spans="1:6" x14ac:dyDescent="0.35">
      <c r="A865" s="2">
        <v>2212191828</v>
      </c>
      <c r="B865" s="6" t="s">
        <v>1238</v>
      </c>
      <c r="C865" s="2" t="s">
        <v>461</v>
      </c>
      <c r="D865" s="4">
        <v>0.92347000000000001</v>
      </c>
      <c r="E865" s="4">
        <v>0.79369000000000001</v>
      </c>
      <c r="F865" s="4">
        <v>3.3E-4</v>
      </c>
    </row>
    <row r="866" spans="1:6" x14ac:dyDescent="0.35">
      <c r="A866" s="2">
        <v>2212191829</v>
      </c>
      <c r="B866" s="6" t="e">
        <v>#N/A</v>
      </c>
      <c r="C866" s="2" t="e">
        <v>#N/A</v>
      </c>
      <c r="D866" s="4">
        <v>1.0010399999999999</v>
      </c>
      <c r="E866" s="4">
        <v>0.82016999999999995</v>
      </c>
      <c r="F866" s="4">
        <v>2.6190000000000001E-2</v>
      </c>
    </row>
    <row r="867" spans="1:6" x14ac:dyDescent="0.35">
      <c r="A867" s="2">
        <v>2212192314</v>
      </c>
      <c r="B867" s="6" t="s">
        <v>1239</v>
      </c>
      <c r="C867" s="2" t="s">
        <v>461</v>
      </c>
      <c r="D867" s="4">
        <v>0.90946000000000005</v>
      </c>
      <c r="E867" s="4">
        <v>0.77968000000000004</v>
      </c>
      <c r="F867" s="4">
        <v>3.3E-4</v>
      </c>
    </row>
    <row r="868" spans="1:6" x14ac:dyDescent="0.35">
      <c r="A868" s="2">
        <v>2212192315</v>
      </c>
      <c r="B868" s="6" t="s">
        <v>1240</v>
      </c>
      <c r="C868" s="2" t="s">
        <v>461</v>
      </c>
      <c r="D868" s="4">
        <v>1.0627800000000001</v>
      </c>
      <c r="E868" s="4">
        <v>0.93267</v>
      </c>
      <c r="F868" s="4">
        <v>6.6E-4</v>
      </c>
    </row>
    <row r="869" spans="1:6" x14ac:dyDescent="0.35">
      <c r="A869" s="2">
        <v>2212192320</v>
      </c>
      <c r="B869" s="6" t="s">
        <v>1241</v>
      </c>
      <c r="C869" s="2" t="s">
        <v>461</v>
      </c>
      <c r="D869" s="4">
        <v>1.3414699999999999</v>
      </c>
      <c r="E869" s="4">
        <v>1.2116899999999999</v>
      </c>
      <c r="F869" s="4">
        <v>3.3E-4</v>
      </c>
    </row>
    <row r="870" spans="1:6" x14ac:dyDescent="0.35">
      <c r="A870" s="2">
        <v>2212192321</v>
      </c>
      <c r="B870" s="6" t="s">
        <v>1242</v>
      </c>
      <c r="C870" s="2" t="s">
        <v>461</v>
      </c>
      <c r="D870" s="4">
        <v>0.90895000000000004</v>
      </c>
      <c r="E870" s="4">
        <v>0.77917000000000003</v>
      </c>
      <c r="F870" s="4">
        <v>3.3E-4</v>
      </c>
    </row>
    <row r="871" spans="1:6" x14ac:dyDescent="0.35">
      <c r="A871" s="2">
        <v>2212193601</v>
      </c>
      <c r="B871" s="6" t="s">
        <v>1243</v>
      </c>
      <c r="C871" s="2" t="s">
        <v>461</v>
      </c>
      <c r="D871" s="4">
        <v>1.3414699999999999</v>
      </c>
      <c r="E871" s="4">
        <v>1.2116899999999999</v>
      </c>
      <c r="F871" s="4">
        <v>3.3E-4</v>
      </c>
    </row>
    <row r="872" spans="1:6" x14ac:dyDescent="0.35">
      <c r="A872" s="2">
        <v>2212193901</v>
      </c>
      <c r="B872" s="6" t="s">
        <v>1244</v>
      </c>
      <c r="C872" s="2" t="s">
        <v>461</v>
      </c>
      <c r="D872" s="4">
        <v>1.3121100000000001</v>
      </c>
      <c r="E872" s="4">
        <v>1.1819999999999999</v>
      </c>
      <c r="F872" s="4">
        <v>6.6E-4</v>
      </c>
    </row>
    <row r="873" spans="1:6" x14ac:dyDescent="0.35">
      <c r="A873" s="2">
        <v>2212194501</v>
      </c>
      <c r="B873" s="6" t="s">
        <v>1245</v>
      </c>
      <c r="C873" s="2" t="s">
        <v>461</v>
      </c>
      <c r="D873" s="4">
        <v>1.62439</v>
      </c>
      <c r="E873" s="4">
        <v>1.48864</v>
      </c>
      <c r="F873" s="4">
        <v>6.3E-3</v>
      </c>
    </row>
    <row r="874" spans="1:6" x14ac:dyDescent="0.35">
      <c r="A874" s="2">
        <v>2212194502</v>
      </c>
      <c r="B874" s="6" t="s">
        <v>1246</v>
      </c>
      <c r="C874" s="2" t="s">
        <v>461</v>
      </c>
      <c r="D874" s="4">
        <v>1.55874</v>
      </c>
      <c r="E874" s="4">
        <v>1.42317</v>
      </c>
      <c r="F874" s="4">
        <v>6.1199999999999996E-3</v>
      </c>
    </row>
    <row r="875" spans="1:6" x14ac:dyDescent="0.35">
      <c r="A875" s="2">
        <v>2212195201</v>
      </c>
      <c r="B875" s="6" t="e">
        <v>#N/A</v>
      </c>
      <c r="C875" s="2" t="e">
        <v>#N/A</v>
      </c>
      <c r="D875" s="4">
        <v>1.2547299999999999</v>
      </c>
      <c r="E875" s="4">
        <v>1.07839</v>
      </c>
      <c r="F875" s="4">
        <v>4.6890000000000001E-2</v>
      </c>
    </row>
    <row r="876" spans="1:6" x14ac:dyDescent="0.35">
      <c r="A876" s="2">
        <v>2212195701</v>
      </c>
      <c r="B876" s="6" t="e">
        <v>#N/A</v>
      </c>
      <c r="C876" s="2" t="e">
        <v>#N/A</v>
      </c>
      <c r="D876" s="4">
        <v>0.92625000000000002</v>
      </c>
      <c r="E876" s="4">
        <v>0.76612999999999998</v>
      </c>
      <c r="F876" s="4">
        <v>3.0669999999999999E-2</v>
      </c>
    </row>
    <row r="877" spans="1:6" x14ac:dyDescent="0.35">
      <c r="A877" s="2">
        <v>2212204001</v>
      </c>
      <c r="B877" s="6" t="s">
        <v>1247</v>
      </c>
      <c r="C877" s="2" t="s">
        <v>461</v>
      </c>
      <c r="D877" s="4">
        <v>0.45140000000000002</v>
      </c>
      <c r="E877" s="4">
        <v>0.32177</v>
      </c>
      <c r="F877" s="4">
        <v>1.8000000000000001E-4</v>
      </c>
    </row>
    <row r="878" spans="1:6" x14ac:dyDescent="0.35">
      <c r="A878" s="2">
        <v>2212204901</v>
      </c>
      <c r="B878" s="6" t="s">
        <v>1248</v>
      </c>
      <c r="C878" s="2" t="s">
        <v>461</v>
      </c>
      <c r="D878" s="4">
        <v>0.55005000000000004</v>
      </c>
      <c r="E878" s="4">
        <v>0.31952999999999998</v>
      </c>
      <c r="F878" s="4">
        <v>1.208E-2</v>
      </c>
    </row>
    <row r="879" spans="1:6" x14ac:dyDescent="0.35">
      <c r="A879" s="2">
        <v>2212204902</v>
      </c>
      <c r="B879" s="6" t="e">
        <v>#N/A</v>
      </c>
      <c r="C879" s="2" t="e">
        <v>#N/A</v>
      </c>
      <c r="D879" s="4">
        <v>0.52607000000000004</v>
      </c>
      <c r="E879" s="4">
        <v>0.28741</v>
      </c>
      <c r="F879" s="4">
        <v>1.257E-2</v>
      </c>
    </row>
    <row r="880" spans="1:6" x14ac:dyDescent="0.35">
      <c r="A880" s="2">
        <v>2212204903</v>
      </c>
      <c r="B880" s="6" t="e">
        <v>#N/A</v>
      </c>
      <c r="C880" s="2" t="e">
        <v>#N/A</v>
      </c>
      <c r="D880" s="4">
        <v>0.51056000000000001</v>
      </c>
      <c r="E880" s="4">
        <v>0.28011999999999998</v>
      </c>
      <c r="F880" s="4">
        <v>1.2E-2</v>
      </c>
    </row>
    <row r="881" spans="1:6" x14ac:dyDescent="0.35">
      <c r="A881" s="2">
        <v>2212204904</v>
      </c>
      <c r="B881" s="6" t="e">
        <v>#N/A</v>
      </c>
      <c r="C881" s="2" t="e">
        <v>#N/A</v>
      </c>
      <c r="D881" s="4">
        <v>0.57272000000000001</v>
      </c>
      <c r="E881" s="4">
        <v>0.31849</v>
      </c>
      <c r="F881" s="4">
        <v>2.4060000000000002E-2</v>
      </c>
    </row>
    <row r="882" spans="1:6" x14ac:dyDescent="0.35">
      <c r="A882" s="2">
        <v>2212205501</v>
      </c>
      <c r="B882" s="6" t="e">
        <v>#N/A</v>
      </c>
      <c r="C882" s="2" t="e">
        <v>#N/A</v>
      </c>
      <c r="D882" s="4">
        <v>0.60475000000000001</v>
      </c>
      <c r="E882" s="4">
        <v>0.34893999999999997</v>
      </c>
      <c r="F882" s="4">
        <v>2.564E-2</v>
      </c>
    </row>
    <row r="883" spans="1:6" x14ac:dyDescent="0.35">
      <c r="A883" s="2">
        <v>2212210903</v>
      </c>
      <c r="B883" s="6" t="s">
        <v>1249</v>
      </c>
      <c r="C883" s="2" t="s">
        <v>461</v>
      </c>
      <c r="D883" s="4">
        <v>0.57967999999999997</v>
      </c>
      <c r="E883" s="4">
        <v>0.44997999999999999</v>
      </c>
      <c r="F883" s="4">
        <v>2.5000000000000001E-4</v>
      </c>
    </row>
    <row r="884" spans="1:6" x14ac:dyDescent="0.35">
      <c r="A884" s="2">
        <v>2212211307</v>
      </c>
      <c r="B884" s="6" t="s">
        <v>1250</v>
      </c>
      <c r="C884" s="2" t="s">
        <v>461</v>
      </c>
      <c r="D884" s="4">
        <v>0.66820999999999997</v>
      </c>
      <c r="E884" s="4">
        <v>0.51571</v>
      </c>
      <c r="F884" s="4">
        <v>2.3050000000000001E-2</v>
      </c>
    </row>
    <row r="885" spans="1:6" x14ac:dyDescent="0.35">
      <c r="A885" s="2">
        <v>2212211308</v>
      </c>
      <c r="B885" s="6" t="s">
        <v>1251</v>
      </c>
      <c r="C885" s="2" t="s">
        <v>461</v>
      </c>
      <c r="D885" s="4">
        <v>0.72031999999999996</v>
      </c>
      <c r="E885" s="4">
        <v>0.56771000000000005</v>
      </c>
      <c r="F885" s="4">
        <v>2.316E-2</v>
      </c>
    </row>
    <row r="886" spans="1:6" x14ac:dyDescent="0.35">
      <c r="A886" s="2">
        <v>2212211802</v>
      </c>
      <c r="B886" s="6" t="s">
        <v>1252</v>
      </c>
      <c r="C886" s="2" t="s">
        <v>461</v>
      </c>
      <c r="D886" s="4">
        <v>0.49149999999999999</v>
      </c>
      <c r="E886" s="4">
        <v>0.36187000000000002</v>
      </c>
      <c r="F886" s="4">
        <v>1.8000000000000001E-4</v>
      </c>
    </row>
    <row r="887" spans="1:6" x14ac:dyDescent="0.35">
      <c r="A887" s="2">
        <v>2212214001</v>
      </c>
      <c r="B887" s="6" t="s">
        <v>1253</v>
      </c>
      <c r="C887" s="2" t="s">
        <v>461</v>
      </c>
      <c r="D887" s="4">
        <v>0.68947000000000003</v>
      </c>
      <c r="E887" s="4">
        <v>0.55976999999999999</v>
      </c>
      <c r="F887" s="4">
        <v>2.5000000000000001E-4</v>
      </c>
    </row>
    <row r="888" spans="1:6" x14ac:dyDescent="0.35">
      <c r="A888" s="2">
        <v>2212230902</v>
      </c>
      <c r="B888" s="6" t="s">
        <v>1254</v>
      </c>
      <c r="C888" s="2" t="s">
        <v>461</v>
      </c>
      <c r="D888" s="4">
        <v>0.51151999999999997</v>
      </c>
      <c r="E888" s="4">
        <v>0.38183</v>
      </c>
      <c r="F888" s="4">
        <v>2.4000000000000001E-4</v>
      </c>
    </row>
    <row r="889" spans="1:6" x14ac:dyDescent="0.35">
      <c r="A889" s="2">
        <v>2212230904</v>
      </c>
      <c r="B889" s="6" t="s">
        <v>1255</v>
      </c>
      <c r="C889" s="2" t="s">
        <v>461</v>
      </c>
      <c r="D889" s="4">
        <v>0.85872999999999999</v>
      </c>
      <c r="E889" s="4">
        <v>0.72890999999999995</v>
      </c>
      <c r="F889" s="4">
        <v>3.6999999999999999E-4</v>
      </c>
    </row>
    <row r="890" spans="1:6" x14ac:dyDescent="0.35">
      <c r="A890" s="2">
        <v>2212230905</v>
      </c>
      <c r="B890" s="6" t="s">
        <v>1256</v>
      </c>
      <c r="C890" s="2" t="s">
        <v>461</v>
      </c>
      <c r="D890" s="4">
        <v>0.85872999999999999</v>
      </c>
      <c r="E890" s="4">
        <v>0.72890999999999995</v>
      </c>
      <c r="F890" s="4">
        <v>3.6999999999999999E-4</v>
      </c>
    </row>
    <row r="891" spans="1:6" x14ac:dyDescent="0.35">
      <c r="A891" s="2">
        <v>2212230906</v>
      </c>
      <c r="B891" s="6" t="e">
        <v>#N/A</v>
      </c>
      <c r="C891" s="2" t="e">
        <v>#N/A</v>
      </c>
      <c r="D891" s="4">
        <v>0.94388000000000005</v>
      </c>
      <c r="E891" s="4">
        <v>0.75797999999999999</v>
      </c>
      <c r="F891" s="4">
        <v>2.8740000000000002E-2</v>
      </c>
    </row>
    <row r="892" spans="1:6" x14ac:dyDescent="0.35">
      <c r="A892" s="2">
        <v>2212231602</v>
      </c>
      <c r="B892" s="6" t="s">
        <v>1257</v>
      </c>
      <c r="C892" s="2" t="s">
        <v>461</v>
      </c>
      <c r="D892" s="4">
        <v>0.87151000000000001</v>
      </c>
      <c r="E892" s="4">
        <v>0.74168999999999996</v>
      </c>
      <c r="F892" s="4">
        <v>3.6999999999999999E-4</v>
      </c>
    </row>
    <row r="893" spans="1:6" x14ac:dyDescent="0.35">
      <c r="A893" s="2">
        <v>2212231603</v>
      </c>
      <c r="B893" s="6" t="s">
        <v>1258</v>
      </c>
      <c r="C893" s="2" t="s">
        <v>461</v>
      </c>
      <c r="D893" s="4">
        <v>0.87151000000000001</v>
      </c>
      <c r="E893" s="4">
        <v>0.74168999999999996</v>
      </c>
      <c r="F893" s="4">
        <v>3.6999999999999999E-4</v>
      </c>
    </row>
    <row r="894" spans="1:6" x14ac:dyDescent="0.35">
      <c r="A894" s="2">
        <v>2212231604</v>
      </c>
      <c r="B894" s="6" t="e">
        <v>#N/A</v>
      </c>
      <c r="C894" s="2" t="e">
        <v>#N/A</v>
      </c>
      <c r="D894" s="4">
        <v>1.1934899999999999</v>
      </c>
      <c r="E894" s="4">
        <v>1.00759</v>
      </c>
      <c r="F894" s="4">
        <v>2.8740000000000002E-2</v>
      </c>
    </row>
    <row r="895" spans="1:6" x14ac:dyDescent="0.35">
      <c r="A895" s="2">
        <v>2212231804</v>
      </c>
      <c r="B895" s="6" t="e">
        <v>#N/A</v>
      </c>
      <c r="C895" s="2" t="e">
        <v>#N/A</v>
      </c>
      <c r="D895" s="4">
        <v>0.98755999999999999</v>
      </c>
      <c r="E895" s="4">
        <v>0.85773999999999995</v>
      </c>
      <c r="F895" s="4">
        <v>3.6999999999999999E-4</v>
      </c>
    </row>
    <row r="896" spans="1:6" x14ac:dyDescent="0.35">
      <c r="A896" s="2">
        <v>2212232301</v>
      </c>
      <c r="B896" s="6" t="e">
        <v>#N/A</v>
      </c>
      <c r="C896" s="2" t="e">
        <v>#N/A</v>
      </c>
      <c r="D896" s="4">
        <v>1.1934899999999999</v>
      </c>
      <c r="E896" s="4">
        <v>1.00759</v>
      </c>
      <c r="F896" s="4">
        <v>2.8740000000000002E-2</v>
      </c>
    </row>
    <row r="897" spans="1:6" x14ac:dyDescent="0.35">
      <c r="A897" s="2">
        <v>2212232306</v>
      </c>
      <c r="B897" s="6" t="s">
        <v>1259</v>
      </c>
      <c r="C897" s="2" t="s">
        <v>461</v>
      </c>
      <c r="D897" s="4">
        <v>0.50319000000000003</v>
      </c>
      <c r="E897" s="4">
        <v>0.37359999999999999</v>
      </c>
      <c r="F897" s="4">
        <v>1.3999999999999999E-4</v>
      </c>
    </row>
    <row r="898" spans="1:6" x14ac:dyDescent="0.35">
      <c r="A898" s="2">
        <v>2212232307</v>
      </c>
      <c r="B898" s="6" t="e">
        <v>#N/A</v>
      </c>
      <c r="C898" s="2" t="e">
        <v>#N/A</v>
      </c>
      <c r="D898" s="4">
        <v>1.0125900000000001</v>
      </c>
      <c r="E898" s="4">
        <v>0.88277000000000005</v>
      </c>
      <c r="F898" s="4">
        <v>3.6999999999999999E-4</v>
      </c>
    </row>
    <row r="899" spans="1:6" x14ac:dyDescent="0.35">
      <c r="A899" s="2">
        <v>2212233903</v>
      </c>
      <c r="B899" s="6" t="s">
        <v>1260</v>
      </c>
      <c r="C899" s="2" t="s">
        <v>461</v>
      </c>
      <c r="D899" s="4">
        <v>0.61600999999999995</v>
      </c>
      <c r="E899" s="4">
        <v>0.48642000000000002</v>
      </c>
      <c r="F899" s="4">
        <v>1.3999999999999999E-4</v>
      </c>
    </row>
    <row r="900" spans="1:6" x14ac:dyDescent="0.35">
      <c r="A900" s="2">
        <v>2212234002</v>
      </c>
      <c r="B900" s="6" t="s">
        <v>1261</v>
      </c>
      <c r="C900" s="2" t="s">
        <v>461</v>
      </c>
      <c r="D900" s="4">
        <v>0.60470000000000002</v>
      </c>
      <c r="E900" s="4">
        <v>0.47500999999999999</v>
      </c>
      <c r="F900" s="4">
        <v>2.4000000000000001E-4</v>
      </c>
    </row>
    <row r="901" spans="1:6" x14ac:dyDescent="0.35">
      <c r="A901" s="2">
        <v>2212234807</v>
      </c>
      <c r="B901" s="6" t="s">
        <v>1262</v>
      </c>
      <c r="C901" s="2" t="s">
        <v>461</v>
      </c>
      <c r="D901" s="4">
        <v>0.92693999999999999</v>
      </c>
      <c r="E901" s="4">
        <v>0.76605999999999996</v>
      </c>
      <c r="F901" s="4">
        <v>3.143E-2</v>
      </c>
    </row>
    <row r="902" spans="1:6" x14ac:dyDescent="0.35">
      <c r="A902" s="2">
        <v>2212235301</v>
      </c>
      <c r="B902" s="6" t="e">
        <v>#N/A</v>
      </c>
      <c r="C902" s="2" t="e">
        <v>#N/A</v>
      </c>
      <c r="D902" s="4">
        <v>0.93908000000000003</v>
      </c>
      <c r="E902" s="4">
        <v>0.77814000000000005</v>
      </c>
      <c r="F902" s="4">
        <v>3.1489999999999997E-2</v>
      </c>
    </row>
    <row r="903" spans="1:6" x14ac:dyDescent="0.35">
      <c r="A903" s="2">
        <v>2212235401</v>
      </c>
      <c r="B903" s="6" t="e">
        <v>#N/A</v>
      </c>
      <c r="C903" s="2" t="e">
        <v>#N/A</v>
      </c>
      <c r="D903" s="4">
        <v>1.11426</v>
      </c>
      <c r="E903" s="4">
        <v>0.89387000000000005</v>
      </c>
      <c r="F903" s="4">
        <v>6.3820000000000002E-2</v>
      </c>
    </row>
    <row r="904" spans="1:6" x14ac:dyDescent="0.35">
      <c r="A904" s="2">
        <v>2212235701</v>
      </c>
      <c r="B904" s="6" t="e">
        <v>#N/A</v>
      </c>
      <c r="C904" s="2" t="e">
        <v>#N/A</v>
      </c>
      <c r="D904" s="4">
        <v>0.93472999999999995</v>
      </c>
      <c r="E904" s="4">
        <v>0.77419000000000004</v>
      </c>
      <c r="F904" s="4">
        <v>3.109E-2</v>
      </c>
    </row>
    <row r="905" spans="1:6" x14ac:dyDescent="0.35">
      <c r="A905" s="2">
        <v>2212235702</v>
      </c>
      <c r="B905" s="6" t="e">
        <v>#N/A</v>
      </c>
      <c r="C905" s="2" t="e">
        <v>#N/A</v>
      </c>
      <c r="D905" s="4">
        <v>1.01997</v>
      </c>
      <c r="E905" s="4">
        <v>0.80327999999999999</v>
      </c>
      <c r="F905" s="4">
        <v>5.9490000000000001E-2</v>
      </c>
    </row>
    <row r="906" spans="1:6" x14ac:dyDescent="0.35">
      <c r="A906" s="2">
        <v>2212270901</v>
      </c>
      <c r="B906" s="6" t="s">
        <v>1263</v>
      </c>
      <c r="C906" s="2" t="s">
        <v>461</v>
      </c>
      <c r="D906" s="4">
        <v>0.64432</v>
      </c>
      <c r="E906" s="4">
        <v>0.51459999999999995</v>
      </c>
      <c r="F906" s="4">
        <v>2.7E-4</v>
      </c>
    </row>
    <row r="907" spans="1:6" x14ac:dyDescent="0.35">
      <c r="A907" s="2">
        <v>2212271801</v>
      </c>
      <c r="B907" s="6" t="e">
        <v>#N/A</v>
      </c>
      <c r="C907" s="2" t="e">
        <v>#N/A</v>
      </c>
      <c r="D907" s="4">
        <v>0.73057000000000005</v>
      </c>
      <c r="E907" s="4">
        <v>0.60085</v>
      </c>
      <c r="F907" s="4">
        <v>2.7E-4</v>
      </c>
    </row>
    <row r="908" spans="1:6" x14ac:dyDescent="0.35">
      <c r="A908" s="2">
        <v>2212272301</v>
      </c>
      <c r="B908" s="6" t="s">
        <v>1264</v>
      </c>
      <c r="C908" s="2" t="s">
        <v>461</v>
      </c>
      <c r="D908" s="4">
        <v>0.74887999999999999</v>
      </c>
      <c r="E908" s="4">
        <v>0.61916000000000004</v>
      </c>
      <c r="F908" s="4">
        <v>2.7E-4</v>
      </c>
    </row>
    <row r="909" spans="1:6" x14ac:dyDescent="0.35">
      <c r="A909" s="2">
        <v>2214191801</v>
      </c>
      <c r="B909" s="6" t="s">
        <v>1265</v>
      </c>
      <c r="C909" s="2" t="s">
        <v>461</v>
      </c>
      <c r="D909" s="4">
        <v>0.99882000000000004</v>
      </c>
      <c r="E909" s="4">
        <v>0.86870999999999998</v>
      </c>
      <c r="F909" s="4">
        <v>6.6E-4</v>
      </c>
    </row>
    <row r="910" spans="1:6" x14ac:dyDescent="0.35">
      <c r="A910" s="2">
        <v>2214192306</v>
      </c>
      <c r="B910" s="6" t="s">
        <v>1266</v>
      </c>
      <c r="C910" s="2" t="s">
        <v>461</v>
      </c>
      <c r="D910" s="4">
        <v>1.10846</v>
      </c>
      <c r="E910" s="4">
        <v>0.97826000000000002</v>
      </c>
      <c r="F910" s="4">
        <v>7.5000000000000002E-4</v>
      </c>
    </row>
    <row r="911" spans="1:6" x14ac:dyDescent="0.35">
      <c r="A911" s="2">
        <v>2214192307</v>
      </c>
      <c r="B911" s="6" t="s">
        <v>1267</v>
      </c>
      <c r="C911" s="2" t="s">
        <v>461</v>
      </c>
      <c r="D911" s="4">
        <v>1.0627800000000001</v>
      </c>
      <c r="E911" s="4">
        <v>0.93267</v>
      </c>
      <c r="F911" s="4">
        <v>6.6E-4</v>
      </c>
    </row>
    <row r="912" spans="1:6" x14ac:dyDescent="0.35">
      <c r="A912" s="2">
        <v>2214193601</v>
      </c>
      <c r="B912" s="6" t="s">
        <v>1268</v>
      </c>
      <c r="C912" s="2" t="s">
        <v>461</v>
      </c>
      <c r="D912" s="4">
        <v>1.72095</v>
      </c>
      <c r="E912" s="4">
        <v>1.5902000000000001</v>
      </c>
      <c r="F912" s="4">
        <v>1.2999999999999999E-3</v>
      </c>
    </row>
    <row r="913" spans="1:6" x14ac:dyDescent="0.35">
      <c r="A913" s="2">
        <v>2261114501</v>
      </c>
      <c r="B913" s="6" t="s">
        <v>1269</v>
      </c>
      <c r="C913" s="2" t="s">
        <v>461</v>
      </c>
      <c r="D913" s="4">
        <v>22.070989999999998</v>
      </c>
      <c r="E913" s="4">
        <v>20.678249999999998</v>
      </c>
      <c r="F913" s="4">
        <v>0.32949000000000001</v>
      </c>
    </row>
    <row r="914" spans="1:6" x14ac:dyDescent="0.35">
      <c r="A914" s="2">
        <v>2262014301</v>
      </c>
      <c r="B914" s="6" t="s">
        <v>1270</v>
      </c>
      <c r="C914" s="2" t="s">
        <v>461</v>
      </c>
      <c r="D914" s="4">
        <v>6.1780299999999997</v>
      </c>
      <c r="E914" s="4">
        <v>5.0048300000000001</v>
      </c>
      <c r="F914" s="4">
        <v>0.10995000000000001</v>
      </c>
    </row>
    <row r="915" spans="1:6" x14ac:dyDescent="0.35">
      <c r="A915" s="2">
        <v>2262014401</v>
      </c>
      <c r="B915" s="6" t="s">
        <v>1271</v>
      </c>
      <c r="C915" s="2" t="s">
        <v>461</v>
      </c>
      <c r="D915" s="4">
        <v>10.41183</v>
      </c>
      <c r="E915" s="4">
        <v>9.1499199999999998</v>
      </c>
      <c r="F915" s="4">
        <v>0.19866</v>
      </c>
    </row>
    <row r="916" spans="1:6" x14ac:dyDescent="0.35">
      <c r="A916" s="2">
        <v>2262014403</v>
      </c>
      <c r="B916" s="6" t="s">
        <v>1272</v>
      </c>
      <c r="C916" s="2" t="s">
        <v>461</v>
      </c>
      <c r="D916" s="4">
        <v>15.75581</v>
      </c>
      <c r="E916" s="4">
        <v>14.386340000000001</v>
      </c>
      <c r="F916" s="4">
        <v>0.30621999999999999</v>
      </c>
    </row>
    <row r="917" spans="1:6" x14ac:dyDescent="0.35">
      <c r="A917" s="2">
        <v>2262014404</v>
      </c>
      <c r="B917" s="6" t="s">
        <v>1273</v>
      </c>
      <c r="C917" s="2" t="s">
        <v>461</v>
      </c>
      <c r="D917" s="4">
        <v>25.87651</v>
      </c>
      <c r="E917" s="4">
        <v>24.289110000000001</v>
      </c>
      <c r="F917" s="4">
        <v>0.52415</v>
      </c>
    </row>
    <row r="918" spans="1:6" x14ac:dyDescent="0.35">
      <c r="A918" s="2">
        <v>2262014501</v>
      </c>
      <c r="B918" s="6" t="s">
        <v>1274</v>
      </c>
      <c r="C918" s="2" t="s">
        <v>461</v>
      </c>
      <c r="D918" s="4">
        <v>43.19211</v>
      </c>
      <c r="E918" s="4">
        <v>41.242260000000002</v>
      </c>
      <c r="F918" s="4">
        <v>0.88660000000000005</v>
      </c>
    </row>
    <row r="919" spans="1:6" x14ac:dyDescent="0.35">
      <c r="A919" s="2">
        <v>2262017301</v>
      </c>
      <c r="B919" s="6" t="s">
        <v>1275</v>
      </c>
      <c r="C919" s="2" t="s">
        <v>461</v>
      </c>
      <c r="D919" s="4">
        <v>10.611330000000001</v>
      </c>
      <c r="E919" s="4">
        <v>9.3419299999999996</v>
      </c>
      <c r="F919" s="4">
        <v>0.20615</v>
      </c>
    </row>
    <row r="920" spans="1:6" x14ac:dyDescent="0.35">
      <c r="A920" s="2">
        <v>2262017302</v>
      </c>
      <c r="B920" s="6" t="s">
        <v>1276</v>
      </c>
      <c r="C920" s="2" t="s">
        <v>461</v>
      </c>
      <c r="D920" s="4">
        <v>13.46041</v>
      </c>
      <c r="E920" s="4">
        <v>12.13261</v>
      </c>
      <c r="F920" s="4">
        <v>0.26455000000000001</v>
      </c>
    </row>
    <row r="921" spans="1:6" x14ac:dyDescent="0.35">
      <c r="A921" s="2">
        <v>2262017401</v>
      </c>
      <c r="B921" s="6" t="s">
        <v>1277</v>
      </c>
      <c r="C921" s="2" t="s">
        <v>461</v>
      </c>
      <c r="D921" s="4">
        <v>44.661499999999997</v>
      </c>
      <c r="E921" s="4">
        <v>42.693440000000002</v>
      </c>
      <c r="F921" s="4">
        <v>0.90481</v>
      </c>
    </row>
    <row r="922" spans="1:6" x14ac:dyDescent="0.35">
      <c r="A922" s="2">
        <v>2262017402</v>
      </c>
      <c r="B922" s="6" t="s">
        <v>1278</v>
      </c>
      <c r="C922" s="2" t="s">
        <v>461</v>
      </c>
      <c r="D922" s="4">
        <v>28.383320000000001</v>
      </c>
      <c r="E922" s="4">
        <v>26.755960000000002</v>
      </c>
      <c r="F922" s="4">
        <v>0.56411</v>
      </c>
    </row>
    <row r="923" spans="1:6" x14ac:dyDescent="0.35">
      <c r="A923" s="2">
        <v>2262017403</v>
      </c>
      <c r="B923" s="6" t="s">
        <v>1279</v>
      </c>
      <c r="C923" s="2" t="s">
        <v>461</v>
      </c>
      <c r="D923" s="4">
        <v>47.808869999999999</v>
      </c>
      <c r="E923" s="4">
        <v>45.762839999999997</v>
      </c>
      <c r="F923" s="4">
        <v>0.98277999999999999</v>
      </c>
    </row>
    <row r="924" spans="1:6" x14ac:dyDescent="0.35">
      <c r="A924" s="2">
        <v>2262017404</v>
      </c>
      <c r="B924" s="6" t="s">
        <v>1280</v>
      </c>
      <c r="C924" s="2" t="s">
        <v>461</v>
      </c>
      <c r="D924" s="4">
        <v>79.362849999999995</v>
      </c>
      <c r="E924" s="4">
        <v>76.637240000000006</v>
      </c>
      <c r="F924" s="4">
        <v>1.6623600000000001</v>
      </c>
    </row>
    <row r="925" spans="1:6" x14ac:dyDescent="0.35">
      <c r="A925" s="2">
        <v>2262020401</v>
      </c>
      <c r="B925" s="6" t="s">
        <v>1281</v>
      </c>
      <c r="C925" s="2" t="s">
        <v>461</v>
      </c>
      <c r="D925" s="4">
        <v>4.3618800000000002</v>
      </c>
      <c r="E925" s="4">
        <v>3.2284199999999998</v>
      </c>
      <c r="F925" s="4">
        <v>7.0209999999999995E-2</v>
      </c>
    </row>
    <row r="926" spans="1:6" x14ac:dyDescent="0.35">
      <c r="A926" s="2">
        <v>2262024301</v>
      </c>
      <c r="B926" s="6" t="s">
        <v>1282</v>
      </c>
      <c r="C926" s="2" t="s">
        <v>461</v>
      </c>
      <c r="D926" s="4">
        <v>6.1394900000000003</v>
      </c>
      <c r="E926" s="4">
        <v>4.9662899999999999</v>
      </c>
      <c r="F926" s="4">
        <v>0.10995000000000001</v>
      </c>
    </row>
    <row r="927" spans="1:6" x14ac:dyDescent="0.35">
      <c r="A927" s="2">
        <v>2262024401</v>
      </c>
      <c r="B927" s="6" t="s">
        <v>1283</v>
      </c>
      <c r="C927" s="2" t="s">
        <v>461</v>
      </c>
      <c r="D927" s="4">
        <v>10.097239999999999</v>
      </c>
      <c r="E927" s="4">
        <v>8.8388200000000001</v>
      </c>
      <c r="F927" s="4">
        <v>0.19517000000000001</v>
      </c>
    </row>
    <row r="928" spans="1:6" x14ac:dyDescent="0.35">
      <c r="A928" s="2">
        <v>2262024402</v>
      </c>
      <c r="B928" s="6" t="s">
        <v>1284</v>
      </c>
      <c r="C928" s="2" t="s">
        <v>461</v>
      </c>
      <c r="D928" s="4">
        <v>15.40367</v>
      </c>
      <c r="E928" s="4">
        <v>14.0342</v>
      </c>
      <c r="F928" s="4">
        <v>0.30621999999999999</v>
      </c>
    </row>
    <row r="929" spans="1:6" x14ac:dyDescent="0.35">
      <c r="A929" s="2">
        <v>2262024403</v>
      </c>
      <c r="B929" s="6" t="s">
        <v>1285</v>
      </c>
      <c r="C929" s="2" t="s">
        <v>461</v>
      </c>
      <c r="D929" s="4">
        <v>26.659739999999999</v>
      </c>
      <c r="E929" s="4">
        <v>25.063009999999998</v>
      </c>
      <c r="F929" s="4">
        <v>0.53347999999999995</v>
      </c>
    </row>
    <row r="930" spans="1:6" x14ac:dyDescent="0.35">
      <c r="A930" s="2">
        <v>2262024501</v>
      </c>
      <c r="B930" s="6" t="s">
        <v>1286</v>
      </c>
      <c r="C930" s="2" t="s">
        <v>461</v>
      </c>
      <c r="D930" s="4">
        <v>43.149189999999997</v>
      </c>
      <c r="E930" s="4">
        <v>41.199339999999999</v>
      </c>
      <c r="F930" s="4">
        <v>0.88660000000000005</v>
      </c>
    </row>
    <row r="931" spans="1:6" x14ac:dyDescent="0.35">
      <c r="A931" s="2">
        <v>2262024502</v>
      </c>
      <c r="B931" s="6" t="s">
        <v>1287</v>
      </c>
      <c r="C931" s="2" t="s">
        <v>461</v>
      </c>
      <c r="D931" s="4">
        <v>68.461969999999994</v>
      </c>
      <c r="E931" s="4">
        <v>65.961820000000003</v>
      </c>
      <c r="F931" s="4">
        <v>1.4369000000000001</v>
      </c>
    </row>
    <row r="932" spans="1:6" x14ac:dyDescent="0.35">
      <c r="A932" s="2">
        <v>2262031501</v>
      </c>
      <c r="B932" s="6" t="s">
        <v>1288</v>
      </c>
      <c r="C932" s="2" t="s">
        <v>461</v>
      </c>
      <c r="D932" s="4">
        <v>12.33799</v>
      </c>
      <c r="E932" s="4">
        <v>9.41099</v>
      </c>
      <c r="F932" s="4">
        <v>0.18323</v>
      </c>
    </row>
    <row r="933" spans="1:6" x14ac:dyDescent="0.35">
      <c r="A933" s="2">
        <v>2262032401</v>
      </c>
      <c r="B933" s="6" t="s">
        <v>1289</v>
      </c>
      <c r="C933" s="2" t="s">
        <v>461</v>
      </c>
      <c r="D933" s="4">
        <v>3.9604200000000001</v>
      </c>
      <c r="E933" s="4">
        <v>2.8342900000000002</v>
      </c>
      <c r="F933" s="4">
        <v>6.2880000000000005E-2</v>
      </c>
    </row>
    <row r="934" spans="1:6" x14ac:dyDescent="0.35">
      <c r="A934" s="2">
        <v>2262032501</v>
      </c>
      <c r="B934" s="6" t="s">
        <v>1290</v>
      </c>
      <c r="C934" s="2" t="s">
        <v>461</v>
      </c>
      <c r="D934" s="4">
        <v>9.8963999999999999</v>
      </c>
      <c r="E934" s="4">
        <v>6.9963800000000003</v>
      </c>
      <c r="F934" s="4">
        <v>0.15625</v>
      </c>
    </row>
    <row r="935" spans="1:6" x14ac:dyDescent="0.35">
      <c r="A935" s="2">
        <v>2262032502</v>
      </c>
      <c r="B935" s="6" t="s">
        <v>1291</v>
      </c>
      <c r="C935" s="2" t="s">
        <v>461</v>
      </c>
      <c r="D935" s="4">
        <v>15.536160000000001</v>
      </c>
      <c r="E935" s="4">
        <v>12.548069999999999</v>
      </c>
      <c r="F935" s="4">
        <v>0.24432000000000001</v>
      </c>
    </row>
    <row r="936" spans="1:6" x14ac:dyDescent="0.35">
      <c r="A936" s="2">
        <v>2262034301</v>
      </c>
      <c r="B936" s="6" t="s">
        <v>1292</v>
      </c>
      <c r="C936" s="2" t="s">
        <v>461</v>
      </c>
      <c r="D936" s="4">
        <v>3.0612699999999999</v>
      </c>
      <c r="E936" s="4">
        <v>1.7908299999999999</v>
      </c>
      <c r="F936" s="4">
        <v>3.4680000000000002E-2</v>
      </c>
    </row>
    <row r="937" spans="1:6" x14ac:dyDescent="0.35">
      <c r="A937" s="2">
        <v>2262034302</v>
      </c>
      <c r="B937" s="6" t="s">
        <v>1293</v>
      </c>
      <c r="C937" s="2" t="s">
        <v>461</v>
      </c>
      <c r="D937" s="4">
        <v>2.6660200000000001</v>
      </c>
      <c r="E937" s="4">
        <v>1.39821</v>
      </c>
      <c r="F937" s="4">
        <v>3.2050000000000002E-2</v>
      </c>
    </row>
    <row r="938" spans="1:6" x14ac:dyDescent="0.35">
      <c r="A938" s="2">
        <v>2262034303</v>
      </c>
      <c r="B938" s="6" t="s">
        <v>1294</v>
      </c>
      <c r="C938" s="2" t="s">
        <v>461</v>
      </c>
      <c r="D938" s="4">
        <v>2.5085000000000002</v>
      </c>
      <c r="E938" s="4">
        <v>1.24702</v>
      </c>
      <c r="F938" s="4">
        <v>2.572E-2</v>
      </c>
    </row>
    <row r="939" spans="1:6" x14ac:dyDescent="0.35">
      <c r="A939" s="2">
        <v>2262034401</v>
      </c>
      <c r="B939" s="6" t="s">
        <v>1295</v>
      </c>
      <c r="C939" s="2" t="s">
        <v>461</v>
      </c>
      <c r="D939" s="4">
        <v>3.62581</v>
      </c>
      <c r="E939" s="4">
        <v>2.3500399999999999</v>
      </c>
      <c r="F939" s="4">
        <v>4.0009999999999997E-2</v>
      </c>
    </row>
    <row r="940" spans="1:6" x14ac:dyDescent="0.35">
      <c r="A940" s="2">
        <v>2262034402</v>
      </c>
      <c r="B940" s="6" t="s">
        <v>1296</v>
      </c>
      <c r="C940" s="2" t="s">
        <v>461</v>
      </c>
      <c r="D940" s="4">
        <v>4.0961699999999999</v>
      </c>
      <c r="E940" s="4">
        <v>3.0428899999999999</v>
      </c>
      <c r="F940" s="4">
        <v>5.3039999999999997E-2</v>
      </c>
    </row>
    <row r="941" spans="1:6" x14ac:dyDescent="0.35">
      <c r="A941" s="2">
        <v>2262034403</v>
      </c>
      <c r="B941" s="6" t="s">
        <v>1297</v>
      </c>
      <c r="C941" s="2" t="s">
        <v>461</v>
      </c>
      <c r="D941" s="4">
        <v>3.25373</v>
      </c>
      <c r="E941" s="4">
        <v>2.2117900000000001</v>
      </c>
      <c r="F941" s="4">
        <v>4.1700000000000001E-2</v>
      </c>
    </row>
    <row r="942" spans="1:6" x14ac:dyDescent="0.35">
      <c r="A942" s="2">
        <v>2262034404</v>
      </c>
      <c r="B942" s="6" t="s">
        <v>1298</v>
      </c>
      <c r="C942" s="2" t="s">
        <v>461</v>
      </c>
      <c r="D942" s="4">
        <v>4.5767800000000003</v>
      </c>
      <c r="E942" s="4">
        <v>3.45269</v>
      </c>
      <c r="F942" s="4">
        <v>6.0839999999999998E-2</v>
      </c>
    </row>
    <row r="943" spans="1:6" x14ac:dyDescent="0.35">
      <c r="A943" s="2">
        <v>2262034405</v>
      </c>
      <c r="B943" s="6" t="s">
        <v>1299</v>
      </c>
      <c r="C943" s="2" t="s">
        <v>461</v>
      </c>
      <c r="D943" s="4">
        <v>9.19876</v>
      </c>
      <c r="E943" s="4">
        <v>6.3129400000000002</v>
      </c>
      <c r="F943" s="4">
        <v>0.14205000000000001</v>
      </c>
    </row>
    <row r="944" spans="1:6" x14ac:dyDescent="0.35">
      <c r="A944" s="2">
        <v>2262034406</v>
      </c>
      <c r="B944" s="6" t="s">
        <v>1300</v>
      </c>
      <c r="C944" s="2" t="s">
        <v>461</v>
      </c>
      <c r="D944" s="4">
        <v>8.9367300000000007</v>
      </c>
      <c r="E944" s="4">
        <v>6.0514200000000002</v>
      </c>
      <c r="F944" s="4">
        <v>0.14154</v>
      </c>
    </row>
    <row r="945" spans="1:6" x14ac:dyDescent="0.35">
      <c r="A945" s="2">
        <v>2262034407</v>
      </c>
      <c r="B945" s="6" t="s">
        <v>1301</v>
      </c>
      <c r="C945" s="2" t="s">
        <v>461</v>
      </c>
      <c r="D945" s="4">
        <v>9.8989399999999996</v>
      </c>
      <c r="E945" s="4">
        <v>6.9901799999999996</v>
      </c>
      <c r="F945" s="4">
        <v>0.16499</v>
      </c>
    </row>
    <row r="946" spans="1:6" x14ac:dyDescent="0.35">
      <c r="A946" s="2">
        <v>2262034408</v>
      </c>
      <c r="B946" s="6" t="s">
        <v>1302</v>
      </c>
      <c r="C946" s="2" t="s">
        <v>461</v>
      </c>
      <c r="D946" s="4">
        <v>6.7227899999999998</v>
      </c>
      <c r="E946" s="4">
        <v>5.5594700000000001</v>
      </c>
      <c r="F946" s="4">
        <v>0.10007000000000001</v>
      </c>
    </row>
    <row r="947" spans="1:6" x14ac:dyDescent="0.35">
      <c r="A947" s="2">
        <v>2262034409</v>
      </c>
      <c r="B947" s="6" t="s">
        <v>1303</v>
      </c>
      <c r="C947" s="2" t="s">
        <v>461</v>
      </c>
      <c r="D947" s="4">
        <v>3.4877400000000001</v>
      </c>
      <c r="E947" s="4">
        <v>2.2164100000000002</v>
      </c>
      <c r="F947" s="4">
        <v>3.5569999999999997E-2</v>
      </c>
    </row>
    <row r="948" spans="1:6" x14ac:dyDescent="0.35">
      <c r="A948" s="2">
        <v>2262034410</v>
      </c>
      <c r="B948" s="6" t="s">
        <v>1304</v>
      </c>
      <c r="C948" s="2" t="s">
        <v>461</v>
      </c>
      <c r="D948" s="4">
        <v>3.8461599999999998</v>
      </c>
      <c r="E948" s="4">
        <v>2.8040500000000002</v>
      </c>
      <c r="F948" s="4">
        <v>4.1869999999999997E-2</v>
      </c>
    </row>
    <row r="949" spans="1:6" x14ac:dyDescent="0.35">
      <c r="A949" s="2">
        <v>2262034501</v>
      </c>
      <c r="B949" s="6" t="s">
        <v>1305</v>
      </c>
      <c r="C949" s="2" t="s">
        <v>461</v>
      </c>
      <c r="D949" s="4">
        <v>13.472950000000001</v>
      </c>
      <c r="E949" s="4">
        <v>10.4948</v>
      </c>
      <c r="F949" s="4">
        <v>0.23438000000000001</v>
      </c>
    </row>
    <row r="950" spans="1:6" x14ac:dyDescent="0.35">
      <c r="A950" s="2">
        <v>2262034502</v>
      </c>
      <c r="B950" s="6" t="s">
        <v>1306</v>
      </c>
      <c r="C950" s="2" t="s">
        <v>461</v>
      </c>
      <c r="D950" s="4">
        <v>10.48602</v>
      </c>
      <c r="E950" s="4">
        <v>9.2585099999999994</v>
      </c>
      <c r="F950" s="4">
        <v>0.16425999999999999</v>
      </c>
    </row>
    <row r="951" spans="1:6" x14ac:dyDescent="0.35">
      <c r="A951" s="2">
        <v>2262034503</v>
      </c>
      <c r="B951" s="6" t="s">
        <v>1307</v>
      </c>
      <c r="C951" s="2" t="s">
        <v>461</v>
      </c>
      <c r="D951" s="4">
        <v>21.93234</v>
      </c>
      <c r="E951" s="4">
        <v>18.822089999999999</v>
      </c>
      <c r="F951" s="4">
        <v>0.36647999999999997</v>
      </c>
    </row>
    <row r="952" spans="1:6" x14ac:dyDescent="0.35">
      <c r="A952" s="2">
        <v>2262034504</v>
      </c>
      <c r="B952" s="6" t="s">
        <v>1308</v>
      </c>
      <c r="C952" s="2" t="s">
        <v>461</v>
      </c>
      <c r="D952" s="4">
        <v>21.93234</v>
      </c>
      <c r="E952" s="4">
        <v>18.822089999999999</v>
      </c>
      <c r="F952" s="4">
        <v>0.36647999999999997</v>
      </c>
    </row>
    <row r="953" spans="1:6" x14ac:dyDescent="0.35">
      <c r="A953" s="2">
        <v>2262034505</v>
      </c>
      <c r="B953" s="6" t="s">
        <v>1309</v>
      </c>
      <c r="C953" s="2" t="s">
        <v>461</v>
      </c>
      <c r="D953" s="4">
        <v>13.472950000000001</v>
      </c>
      <c r="E953" s="4">
        <v>10.4948</v>
      </c>
      <c r="F953" s="4">
        <v>0.23438000000000001</v>
      </c>
    </row>
    <row r="954" spans="1:6" x14ac:dyDescent="0.35">
      <c r="A954" s="2">
        <v>2262034506</v>
      </c>
      <c r="B954" s="6" t="s">
        <v>1310</v>
      </c>
      <c r="C954" s="2" t="s">
        <v>461</v>
      </c>
      <c r="D954" s="4">
        <v>14.07258</v>
      </c>
      <c r="E954" s="4">
        <v>12.536759999999999</v>
      </c>
      <c r="F954" s="4">
        <v>0.23708000000000001</v>
      </c>
    </row>
    <row r="955" spans="1:6" x14ac:dyDescent="0.35">
      <c r="A955" s="2">
        <v>2262034507</v>
      </c>
      <c r="B955" s="6" t="s">
        <v>1311</v>
      </c>
      <c r="C955" s="2" t="s">
        <v>461</v>
      </c>
      <c r="D955" s="4">
        <v>12.163460000000001</v>
      </c>
      <c r="E955" s="4">
        <v>10.860390000000001</v>
      </c>
      <c r="F955" s="4">
        <v>0.23982000000000001</v>
      </c>
    </row>
    <row r="956" spans="1:6" x14ac:dyDescent="0.35">
      <c r="A956" s="2">
        <v>2262034508</v>
      </c>
      <c r="B956" s="6" t="s">
        <v>1312</v>
      </c>
      <c r="C956" s="2" t="s">
        <v>461</v>
      </c>
      <c r="D956" s="4">
        <v>38.488849999999999</v>
      </c>
      <c r="E956" s="4">
        <v>35.102089999999997</v>
      </c>
      <c r="F956" s="4">
        <v>0.64298999999999995</v>
      </c>
    </row>
    <row r="957" spans="1:6" x14ac:dyDescent="0.35">
      <c r="A957" s="2">
        <v>2262044401</v>
      </c>
      <c r="B957" s="6" t="s">
        <v>1313</v>
      </c>
      <c r="C957" s="2" t="s">
        <v>461</v>
      </c>
      <c r="D957" s="4">
        <v>19.40483</v>
      </c>
      <c r="E957" s="4">
        <v>17.986820000000002</v>
      </c>
      <c r="F957" s="4">
        <v>0.35476000000000002</v>
      </c>
    </row>
    <row r="958" spans="1:6" x14ac:dyDescent="0.35">
      <c r="A958" s="2">
        <v>2262045401</v>
      </c>
      <c r="B958" s="6" t="s">
        <v>1314</v>
      </c>
      <c r="C958" s="2" t="s">
        <v>461</v>
      </c>
      <c r="D958" s="4">
        <v>22.085830000000001</v>
      </c>
      <c r="E958" s="4">
        <v>20.608689999999999</v>
      </c>
      <c r="F958" s="4">
        <v>0.41388999999999998</v>
      </c>
    </row>
    <row r="959" spans="1:6" x14ac:dyDescent="0.35">
      <c r="A959" s="2">
        <v>2262046401</v>
      </c>
      <c r="B959" s="6" t="s">
        <v>1315</v>
      </c>
      <c r="C959" s="2" t="s">
        <v>461</v>
      </c>
      <c r="D959" s="4">
        <v>26.424389999999999</v>
      </c>
      <c r="E959" s="4">
        <v>25.00075</v>
      </c>
      <c r="F959" s="4">
        <v>0.36038999999999999</v>
      </c>
    </row>
    <row r="960" spans="1:6" x14ac:dyDescent="0.35">
      <c r="A960" s="2">
        <v>2262054301</v>
      </c>
      <c r="B960" s="6" t="s">
        <v>1316</v>
      </c>
      <c r="C960" s="2" t="s">
        <v>461</v>
      </c>
      <c r="D960" s="4">
        <v>5.5532899999999996</v>
      </c>
      <c r="E960" s="4">
        <v>4.3753200000000003</v>
      </c>
      <c r="F960" s="4">
        <v>0.11472</v>
      </c>
    </row>
    <row r="961" spans="1:6" x14ac:dyDescent="0.35">
      <c r="A961" s="2">
        <v>2262054302</v>
      </c>
      <c r="B961" s="6" t="s">
        <v>1317</v>
      </c>
      <c r="C961" s="2" t="s">
        <v>461</v>
      </c>
      <c r="D961" s="4">
        <v>5.6936200000000001</v>
      </c>
      <c r="E961" s="4">
        <v>4.5405699999999998</v>
      </c>
      <c r="F961" s="4">
        <v>8.9800000000000005E-2</v>
      </c>
    </row>
    <row r="962" spans="1:6" x14ac:dyDescent="0.35">
      <c r="A962" s="2">
        <v>2262054401</v>
      </c>
      <c r="B962" s="6" t="s">
        <v>1318</v>
      </c>
      <c r="C962" s="2" t="s">
        <v>461</v>
      </c>
      <c r="D962" s="4">
        <v>9.1484199999999998</v>
      </c>
      <c r="E962" s="4">
        <v>6.2477299999999998</v>
      </c>
      <c r="F962" s="4">
        <v>0.15692</v>
      </c>
    </row>
    <row r="963" spans="1:6" x14ac:dyDescent="0.35">
      <c r="A963" s="2">
        <v>2262054402</v>
      </c>
      <c r="B963" s="6" t="s">
        <v>1319</v>
      </c>
      <c r="C963" s="2" t="s">
        <v>461</v>
      </c>
      <c r="D963" s="4">
        <v>13.600440000000001</v>
      </c>
      <c r="E963" s="4">
        <v>10.596819999999999</v>
      </c>
      <c r="F963" s="4">
        <v>0.25985000000000003</v>
      </c>
    </row>
    <row r="964" spans="1:6" x14ac:dyDescent="0.35">
      <c r="A964" s="2">
        <v>2262054403</v>
      </c>
      <c r="B964" s="6" t="s">
        <v>1320</v>
      </c>
      <c r="C964" s="2" t="s">
        <v>461</v>
      </c>
      <c r="D964" s="4">
        <v>6.23773</v>
      </c>
      <c r="E964" s="4">
        <v>5.0409899999999999</v>
      </c>
      <c r="F964" s="4">
        <v>0.13349</v>
      </c>
    </row>
    <row r="965" spans="1:6" x14ac:dyDescent="0.35">
      <c r="A965" s="2">
        <v>2262054501</v>
      </c>
      <c r="B965" s="6" t="s">
        <v>1321</v>
      </c>
      <c r="C965" s="2" t="s">
        <v>461</v>
      </c>
      <c r="D965" s="4">
        <v>19.739360000000001</v>
      </c>
      <c r="E965" s="4">
        <v>16.59468</v>
      </c>
      <c r="F965" s="4">
        <v>0.40090999999999999</v>
      </c>
    </row>
    <row r="966" spans="1:6" x14ac:dyDescent="0.35">
      <c r="A966" s="2">
        <v>2262055401</v>
      </c>
      <c r="B966" s="6" t="s">
        <v>1322</v>
      </c>
      <c r="C966" s="2" t="s">
        <v>461</v>
      </c>
      <c r="D966" s="4">
        <v>10.22583</v>
      </c>
      <c r="E966" s="4">
        <v>7.2816200000000002</v>
      </c>
      <c r="F966" s="4">
        <v>0.20044000000000001</v>
      </c>
    </row>
    <row r="967" spans="1:6" x14ac:dyDescent="0.35">
      <c r="A967" s="2">
        <v>2262055402</v>
      </c>
      <c r="B967" s="6" t="s">
        <v>1323</v>
      </c>
      <c r="C967" s="2" t="s">
        <v>461</v>
      </c>
      <c r="D967" s="4">
        <v>24.932449999999999</v>
      </c>
      <c r="E967" s="4">
        <v>21.672560000000001</v>
      </c>
      <c r="F967" s="4">
        <v>0.51612000000000002</v>
      </c>
    </row>
    <row r="968" spans="1:6" x14ac:dyDescent="0.35">
      <c r="A968" s="2">
        <v>2262062401</v>
      </c>
      <c r="B968" s="6" t="s">
        <v>1324</v>
      </c>
      <c r="C968" s="2" t="s">
        <v>461</v>
      </c>
      <c r="D968" s="4">
        <v>5.8978700000000002</v>
      </c>
      <c r="E968" s="4">
        <v>4.7287999999999997</v>
      </c>
      <c r="F968" s="4">
        <v>0.10582</v>
      </c>
    </row>
    <row r="969" spans="1:6" x14ac:dyDescent="0.35">
      <c r="A969" s="2">
        <v>2262064301</v>
      </c>
      <c r="B969" s="6" t="s">
        <v>1325</v>
      </c>
      <c r="C969" s="2" t="s">
        <v>461</v>
      </c>
      <c r="D969" s="4">
        <v>3.7704800000000001</v>
      </c>
      <c r="E969" s="4">
        <v>2.71122</v>
      </c>
      <c r="F969" s="4">
        <v>5.9020000000000003E-2</v>
      </c>
    </row>
    <row r="970" spans="1:6" x14ac:dyDescent="0.35">
      <c r="A970" s="2">
        <v>2262064302</v>
      </c>
      <c r="B970" s="6" t="s">
        <v>1326</v>
      </c>
      <c r="C970" s="2" t="s">
        <v>461</v>
      </c>
      <c r="D970" s="4">
        <v>3.77149</v>
      </c>
      <c r="E970" s="4">
        <v>2.7122299999999999</v>
      </c>
      <c r="F970" s="4">
        <v>5.9020000000000003E-2</v>
      </c>
    </row>
    <row r="971" spans="1:6" x14ac:dyDescent="0.35">
      <c r="A971" s="2">
        <v>2262064303</v>
      </c>
      <c r="B971" s="6" t="s">
        <v>1327</v>
      </c>
      <c r="C971" s="2" t="s">
        <v>461</v>
      </c>
      <c r="D971" s="4">
        <v>3.23414</v>
      </c>
      <c r="E971" s="4">
        <v>2.2000999999999999</v>
      </c>
      <c r="F971" s="4">
        <v>3.3799999999999997E-2</v>
      </c>
    </row>
    <row r="972" spans="1:6" x14ac:dyDescent="0.35">
      <c r="A972" s="2">
        <v>2262064401</v>
      </c>
      <c r="B972" s="6" t="s">
        <v>1328</v>
      </c>
      <c r="C972" s="2" t="s">
        <v>461</v>
      </c>
      <c r="D972" s="4">
        <v>8.2689000000000004</v>
      </c>
      <c r="E972" s="4">
        <v>7.0469299999999997</v>
      </c>
      <c r="F972" s="4">
        <v>0.15872</v>
      </c>
    </row>
    <row r="973" spans="1:6" x14ac:dyDescent="0.35">
      <c r="A973" s="2">
        <v>2262064402</v>
      </c>
      <c r="B973" s="6" t="s">
        <v>1329</v>
      </c>
      <c r="C973" s="2" t="s">
        <v>461</v>
      </c>
      <c r="D973" s="4">
        <v>6.6829599999999996</v>
      </c>
      <c r="E973" s="4">
        <v>5.4999599999999997</v>
      </c>
      <c r="F973" s="4">
        <v>0.11975</v>
      </c>
    </row>
    <row r="974" spans="1:6" x14ac:dyDescent="0.35">
      <c r="A974" s="2">
        <v>2262064403</v>
      </c>
      <c r="B974" s="6" t="s">
        <v>1330</v>
      </c>
      <c r="C974" s="2" t="s">
        <v>461</v>
      </c>
      <c r="D974" s="4">
        <v>12.47409</v>
      </c>
      <c r="E974" s="4">
        <v>11.1608</v>
      </c>
      <c r="F974" s="4">
        <v>0.25003999999999998</v>
      </c>
    </row>
    <row r="975" spans="1:6" x14ac:dyDescent="0.35">
      <c r="A975" s="2">
        <v>2262064501</v>
      </c>
      <c r="B975" s="6" t="s">
        <v>1331</v>
      </c>
      <c r="C975" s="2" t="s">
        <v>461</v>
      </c>
      <c r="D975" s="4">
        <v>21.036960000000001</v>
      </c>
      <c r="E975" s="4">
        <v>19.53811</v>
      </c>
      <c r="F975" s="4">
        <v>0.43559999999999999</v>
      </c>
    </row>
    <row r="976" spans="1:6" x14ac:dyDescent="0.35">
      <c r="A976" s="2">
        <v>2262065301</v>
      </c>
      <c r="B976" s="6" t="s">
        <v>1332</v>
      </c>
      <c r="C976" s="2" t="s">
        <v>461</v>
      </c>
      <c r="D976" s="4">
        <v>5.3364900000000004</v>
      </c>
      <c r="E976" s="4">
        <v>4.1827500000000004</v>
      </c>
      <c r="F976" s="4">
        <v>9.0490000000000001E-2</v>
      </c>
    </row>
    <row r="977" spans="1:6" x14ac:dyDescent="0.35">
      <c r="A977" s="2">
        <v>2262065302</v>
      </c>
      <c r="B977" s="6" t="s">
        <v>1333</v>
      </c>
      <c r="C977" s="2" t="s">
        <v>461</v>
      </c>
      <c r="D977" s="4">
        <v>3.9579800000000001</v>
      </c>
      <c r="E977" s="4">
        <v>2.9086099999999999</v>
      </c>
      <c r="F977" s="4">
        <v>4.913E-2</v>
      </c>
    </row>
    <row r="978" spans="1:6" x14ac:dyDescent="0.35">
      <c r="A978" s="2">
        <v>2262066401</v>
      </c>
      <c r="B978" s="6" t="s">
        <v>1334</v>
      </c>
      <c r="C978" s="2" t="s">
        <v>461</v>
      </c>
      <c r="D978" s="4">
        <v>13.716749999999999</v>
      </c>
      <c r="E978" s="4">
        <v>12.411210000000001</v>
      </c>
      <c r="F978" s="4">
        <v>0.24229000000000001</v>
      </c>
    </row>
    <row r="979" spans="1:6" x14ac:dyDescent="0.35">
      <c r="A979" s="2">
        <v>2262067401</v>
      </c>
      <c r="B979" s="6" t="s">
        <v>1335</v>
      </c>
      <c r="C979" s="2" t="s">
        <v>461</v>
      </c>
      <c r="D979" s="4">
        <v>43.998629999999999</v>
      </c>
      <c r="E979" s="4">
        <v>42.002479999999998</v>
      </c>
      <c r="F979" s="4">
        <v>0.93289999999999995</v>
      </c>
    </row>
    <row r="980" spans="1:6" x14ac:dyDescent="0.35">
      <c r="A980" s="2">
        <v>2262067501</v>
      </c>
      <c r="B980" s="6" t="s">
        <v>1336</v>
      </c>
      <c r="C980" s="2" t="s">
        <v>461</v>
      </c>
      <c r="D980" s="4">
        <v>51.853180000000002</v>
      </c>
      <c r="E980" s="4">
        <v>47.843170000000001</v>
      </c>
      <c r="F980" s="4">
        <v>1.26624</v>
      </c>
    </row>
    <row r="981" spans="1:6" x14ac:dyDescent="0.35">
      <c r="A981" s="2">
        <v>2262068401</v>
      </c>
      <c r="B981" s="6" t="s">
        <v>1337</v>
      </c>
      <c r="C981" s="2" t="s">
        <v>461</v>
      </c>
      <c r="D981" s="4">
        <v>26.268709999999999</v>
      </c>
      <c r="E981" s="4">
        <v>24.673580000000001</v>
      </c>
      <c r="F981" s="4">
        <v>0.53188000000000002</v>
      </c>
    </row>
    <row r="982" spans="1:6" x14ac:dyDescent="0.35">
      <c r="A982" s="2">
        <v>2262068402</v>
      </c>
      <c r="B982" s="6" t="s">
        <v>1338</v>
      </c>
      <c r="C982" s="2" t="s">
        <v>461</v>
      </c>
      <c r="D982" s="4">
        <v>48.790430000000001</v>
      </c>
      <c r="E982" s="4">
        <v>46.744399999999999</v>
      </c>
      <c r="F982" s="4">
        <v>0.98277999999999999</v>
      </c>
    </row>
    <row r="983" spans="1:6" x14ac:dyDescent="0.35">
      <c r="A983" s="2">
        <v>2262068501</v>
      </c>
      <c r="B983" s="6" t="s">
        <v>1339</v>
      </c>
      <c r="C983" s="2" t="s">
        <v>461</v>
      </c>
      <c r="D983" s="4">
        <v>216.08835999999999</v>
      </c>
      <c r="E983" s="4">
        <v>208.20180999999999</v>
      </c>
      <c r="F983" s="4">
        <v>5.1427800000000001</v>
      </c>
    </row>
    <row r="984" spans="1:6" x14ac:dyDescent="0.35">
      <c r="A984" s="2">
        <v>2262068502</v>
      </c>
      <c r="B984" s="6" t="s">
        <v>1340</v>
      </c>
      <c r="C984" s="2" t="s">
        <v>461</v>
      </c>
      <c r="D984" s="4">
        <v>59.345350000000003</v>
      </c>
      <c r="E984" s="4">
        <v>55.117249999999999</v>
      </c>
      <c r="F984" s="4">
        <v>1.4843299999999999</v>
      </c>
    </row>
    <row r="985" spans="1:6" x14ac:dyDescent="0.35">
      <c r="A985" s="2">
        <v>2262074401</v>
      </c>
      <c r="B985" s="6" t="s">
        <v>1341</v>
      </c>
      <c r="C985" s="2" t="s">
        <v>461</v>
      </c>
      <c r="D985" s="4">
        <v>6.5884999999999998</v>
      </c>
      <c r="E985" s="4">
        <v>5.4173200000000001</v>
      </c>
      <c r="F985" s="4">
        <v>0.10793</v>
      </c>
    </row>
    <row r="986" spans="1:6" x14ac:dyDescent="0.35">
      <c r="A986" s="2">
        <v>2262074402</v>
      </c>
      <c r="B986" s="6" t="s">
        <v>1342</v>
      </c>
      <c r="C986" s="2" t="s">
        <v>461</v>
      </c>
      <c r="D986" s="4">
        <v>4.5419900000000002</v>
      </c>
      <c r="E986" s="4">
        <v>3.4134799999999998</v>
      </c>
      <c r="F986" s="4">
        <v>6.5259999999999999E-2</v>
      </c>
    </row>
    <row r="987" spans="1:6" x14ac:dyDescent="0.35">
      <c r="A987" s="2">
        <v>2262074403</v>
      </c>
      <c r="B987" s="6" t="s">
        <v>1343</v>
      </c>
      <c r="C987" s="2" t="s">
        <v>461</v>
      </c>
      <c r="D987" s="4">
        <v>9.7440700000000007</v>
      </c>
      <c r="E987" s="4">
        <v>8.5187399999999993</v>
      </c>
      <c r="F987" s="4">
        <v>0.16208</v>
      </c>
    </row>
    <row r="988" spans="1:6" x14ac:dyDescent="0.35">
      <c r="A988" s="2">
        <v>2262074404</v>
      </c>
      <c r="B988" s="6" t="s">
        <v>1344</v>
      </c>
      <c r="C988" s="2" t="s">
        <v>461</v>
      </c>
      <c r="D988" s="4">
        <v>8.7616599999999991</v>
      </c>
      <c r="E988" s="4">
        <v>7.5554100000000002</v>
      </c>
      <c r="F988" s="4">
        <v>0.14299999999999999</v>
      </c>
    </row>
    <row r="989" spans="1:6" x14ac:dyDescent="0.35">
      <c r="A989" s="2">
        <v>2262074405</v>
      </c>
      <c r="B989" s="6" t="e">
        <v>#N/A</v>
      </c>
      <c r="C989" s="2" t="e">
        <v>#N/A</v>
      </c>
      <c r="D989" s="4">
        <v>6.6228100000000003</v>
      </c>
      <c r="E989" s="4">
        <v>5.2454099999999997</v>
      </c>
      <c r="F989" s="4">
        <v>0.31414999999999998</v>
      </c>
    </row>
    <row r="990" spans="1:6" x14ac:dyDescent="0.35">
      <c r="A990" s="2">
        <v>2262074501</v>
      </c>
      <c r="B990" s="6" t="s">
        <v>1345</v>
      </c>
      <c r="C990" s="2" t="s">
        <v>461</v>
      </c>
      <c r="D990" s="4">
        <v>15.160030000000001</v>
      </c>
      <c r="E990" s="4">
        <v>13.840479999999999</v>
      </c>
      <c r="F990" s="4">
        <v>0.25629999999999997</v>
      </c>
    </row>
    <row r="991" spans="1:6" x14ac:dyDescent="0.35">
      <c r="A991" s="2">
        <v>2262074502</v>
      </c>
      <c r="B991" s="6" t="s">
        <v>1346</v>
      </c>
      <c r="C991" s="2" t="s">
        <v>461</v>
      </c>
      <c r="D991" s="4">
        <v>44.65155</v>
      </c>
      <c r="E991" s="4">
        <v>42.843769999999999</v>
      </c>
      <c r="F991" s="4">
        <v>0.74453000000000003</v>
      </c>
    </row>
    <row r="992" spans="1:6" x14ac:dyDescent="0.35">
      <c r="A992" s="2">
        <v>2262074503</v>
      </c>
      <c r="B992" s="6" t="s">
        <v>1347</v>
      </c>
      <c r="C992" s="2" t="s">
        <v>461</v>
      </c>
      <c r="D992" s="4">
        <v>71.706230000000005</v>
      </c>
      <c r="E992" s="4">
        <v>69.436340000000001</v>
      </c>
      <c r="F992" s="4">
        <v>1.2066399999999999</v>
      </c>
    </row>
    <row r="993" spans="1:6" x14ac:dyDescent="0.35">
      <c r="A993" s="2">
        <v>2262074504</v>
      </c>
      <c r="B993" s="6" t="s">
        <v>1348</v>
      </c>
      <c r="C993" s="2" t="s">
        <v>461</v>
      </c>
      <c r="D993" s="4">
        <v>27.552109999999999</v>
      </c>
      <c r="E993" s="4">
        <v>26.03858</v>
      </c>
      <c r="F993" s="4">
        <v>0.45028000000000001</v>
      </c>
    </row>
    <row r="994" spans="1:6" x14ac:dyDescent="0.35">
      <c r="A994" s="2">
        <v>2262076401</v>
      </c>
      <c r="B994" s="6" t="s">
        <v>1349</v>
      </c>
      <c r="C994" s="2" t="s">
        <v>461</v>
      </c>
      <c r="D994" s="4">
        <v>16.71116</v>
      </c>
      <c r="E994" s="4">
        <v>15.3513</v>
      </c>
      <c r="F994" s="4">
        <v>0.29660999999999998</v>
      </c>
    </row>
    <row r="995" spans="1:6" x14ac:dyDescent="0.35">
      <c r="A995" s="2">
        <v>2262077401</v>
      </c>
      <c r="B995" s="6" t="s">
        <v>1350</v>
      </c>
      <c r="C995" s="2" t="s">
        <v>461</v>
      </c>
      <c r="D995" s="4">
        <v>31.97561</v>
      </c>
      <c r="E995" s="4">
        <v>30.361809999999998</v>
      </c>
      <c r="F995" s="4">
        <v>0.55054999999999998</v>
      </c>
    </row>
    <row r="996" spans="1:6" x14ac:dyDescent="0.35">
      <c r="A996" s="2">
        <v>2262082301</v>
      </c>
      <c r="B996" s="6" t="s">
        <v>1351</v>
      </c>
      <c r="C996" s="2" t="s">
        <v>461</v>
      </c>
      <c r="D996" s="4">
        <v>2.1787700000000001</v>
      </c>
      <c r="E996" s="4">
        <v>0.92259999999999998</v>
      </c>
      <c r="F996" s="4">
        <v>2.0410000000000001E-2</v>
      </c>
    </row>
    <row r="997" spans="1:6" x14ac:dyDescent="0.35">
      <c r="A997" s="2">
        <v>2262084301</v>
      </c>
      <c r="B997" s="6" t="s">
        <v>1352</v>
      </c>
      <c r="C997" s="2" t="s">
        <v>461</v>
      </c>
      <c r="D997" s="4">
        <v>2.6660200000000001</v>
      </c>
      <c r="E997" s="4">
        <v>1.39821</v>
      </c>
      <c r="F997" s="4">
        <v>3.2050000000000002E-2</v>
      </c>
    </row>
    <row r="998" spans="1:6" x14ac:dyDescent="0.35">
      <c r="A998" s="2">
        <v>2262084302</v>
      </c>
      <c r="B998" s="6" t="s">
        <v>1353</v>
      </c>
      <c r="C998" s="2" t="s">
        <v>461</v>
      </c>
      <c r="D998" s="4">
        <v>2.8374899999999998</v>
      </c>
      <c r="E998" s="4">
        <v>1.79847</v>
      </c>
      <c r="F998" s="4">
        <v>3.8780000000000002E-2</v>
      </c>
    </row>
    <row r="999" spans="1:6" x14ac:dyDescent="0.35">
      <c r="A999" s="2">
        <v>2262084304</v>
      </c>
      <c r="B999" s="6" t="s">
        <v>1354</v>
      </c>
      <c r="C999" s="2" t="s">
        <v>461</v>
      </c>
      <c r="D999" s="4">
        <v>3.0613999999999999</v>
      </c>
      <c r="E999" s="4">
        <v>1.7909600000000001</v>
      </c>
      <c r="F999" s="4">
        <v>3.4680000000000002E-2</v>
      </c>
    </row>
    <row r="1000" spans="1:6" x14ac:dyDescent="0.35">
      <c r="A1000" s="2">
        <v>2262084305</v>
      </c>
      <c r="B1000" s="6" t="s">
        <v>1355</v>
      </c>
      <c r="C1000" s="2" t="s">
        <v>461</v>
      </c>
      <c r="D1000" s="4">
        <v>2.5106000000000002</v>
      </c>
      <c r="E1000" s="4">
        <v>1.4160600000000001</v>
      </c>
      <c r="F1000" s="4">
        <v>3.1289999999999998E-2</v>
      </c>
    </row>
    <row r="1001" spans="1:6" x14ac:dyDescent="0.35">
      <c r="A1001" s="2">
        <v>2262084306</v>
      </c>
      <c r="B1001" s="6" t="s">
        <v>1356</v>
      </c>
      <c r="C1001" s="2" t="s">
        <v>461</v>
      </c>
      <c r="D1001" s="4">
        <v>3.3620899999999998</v>
      </c>
      <c r="E1001" s="4">
        <v>2.3019500000000002</v>
      </c>
      <c r="F1001" s="4">
        <v>5.9900000000000002E-2</v>
      </c>
    </row>
    <row r="1002" spans="1:6" x14ac:dyDescent="0.35">
      <c r="A1002" s="2">
        <v>2262084307</v>
      </c>
      <c r="B1002" s="6" t="s">
        <v>1357</v>
      </c>
      <c r="C1002" s="2" t="s">
        <v>461</v>
      </c>
      <c r="D1002" s="4">
        <v>2.9005700000000001</v>
      </c>
      <c r="E1002" s="4">
        <v>1.62327</v>
      </c>
      <c r="F1002" s="4">
        <v>4.1540000000000001E-2</v>
      </c>
    </row>
    <row r="1003" spans="1:6" x14ac:dyDescent="0.35">
      <c r="A1003" s="2">
        <v>2262084309</v>
      </c>
      <c r="B1003" s="6" t="s">
        <v>1358</v>
      </c>
      <c r="C1003" s="2" t="s">
        <v>461</v>
      </c>
      <c r="D1003" s="4">
        <v>2.5085000000000002</v>
      </c>
      <c r="E1003" s="4">
        <v>1.24702</v>
      </c>
      <c r="F1003" s="4">
        <v>2.572E-2</v>
      </c>
    </row>
    <row r="1004" spans="1:6" x14ac:dyDescent="0.35">
      <c r="A1004" s="2">
        <v>2262084401</v>
      </c>
      <c r="B1004" s="6" t="s">
        <v>1359</v>
      </c>
      <c r="C1004" s="2" t="s">
        <v>461</v>
      </c>
      <c r="D1004" s="4">
        <v>7.3846600000000002</v>
      </c>
      <c r="E1004" s="4">
        <v>4.5228999999999999</v>
      </c>
      <c r="F1004" s="4">
        <v>0.11799</v>
      </c>
    </row>
    <row r="1005" spans="1:6" x14ac:dyDescent="0.35">
      <c r="A1005" s="2">
        <v>2262084402</v>
      </c>
      <c r="B1005" s="6" t="s">
        <v>1360</v>
      </c>
      <c r="C1005" s="2" t="s">
        <v>461</v>
      </c>
      <c r="D1005" s="4">
        <v>10.591089999999999</v>
      </c>
      <c r="E1005" s="4">
        <v>7.6525299999999996</v>
      </c>
      <c r="F1005" s="4">
        <v>0.19478999999999999</v>
      </c>
    </row>
    <row r="1006" spans="1:6" x14ac:dyDescent="0.35">
      <c r="A1006" s="2">
        <v>2262084403</v>
      </c>
      <c r="B1006" s="6" t="s">
        <v>1361</v>
      </c>
      <c r="C1006" s="2" t="s">
        <v>461</v>
      </c>
      <c r="D1006" s="4">
        <v>7.3667800000000003</v>
      </c>
      <c r="E1006" s="4">
        <v>6.1555299999999997</v>
      </c>
      <c r="F1006" s="4">
        <v>0.14799999999999999</v>
      </c>
    </row>
    <row r="1007" spans="1:6" x14ac:dyDescent="0.35">
      <c r="A1007" s="2">
        <v>2262084404</v>
      </c>
      <c r="B1007" s="6" t="s">
        <v>1362</v>
      </c>
      <c r="C1007" s="2" t="s">
        <v>461</v>
      </c>
      <c r="D1007" s="4">
        <v>11.288</v>
      </c>
      <c r="E1007" s="4">
        <v>9.9957700000000003</v>
      </c>
      <c r="F1007" s="4">
        <v>0.22897999999999999</v>
      </c>
    </row>
    <row r="1008" spans="1:6" x14ac:dyDescent="0.35">
      <c r="A1008" s="2">
        <v>2262084405</v>
      </c>
      <c r="B1008" s="6" t="s">
        <v>1363</v>
      </c>
      <c r="C1008" s="2" t="s">
        <v>461</v>
      </c>
      <c r="D1008" s="4">
        <v>4.1493399999999996</v>
      </c>
      <c r="E1008" s="4">
        <v>2.8524500000000002</v>
      </c>
      <c r="F1008" s="4">
        <v>6.1129999999999997E-2</v>
      </c>
    </row>
    <row r="1009" spans="1:6" x14ac:dyDescent="0.35">
      <c r="A1009" s="2">
        <v>2262084406</v>
      </c>
      <c r="B1009" s="6" t="s">
        <v>1364</v>
      </c>
      <c r="C1009" s="2" t="s">
        <v>461</v>
      </c>
      <c r="D1009" s="4">
        <v>4.7902399999999998</v>
      </c>
      <c r="E1009" s="4">
        <v>3.64832</v>
      </c>
      <c r="F1009" s="4">
        <v>7.8670000000000004E-2</v>
      </c>
    </row>
    <row r="1010" spans="1:6" x14ac:dyDescent="0.35">
      <c r="A1010" s="2">
        <v>2262084407</v>
      </c>
      <c r="B1010" s="6" t="s">
        <v>1365</v>
      </c>
      <c r="C1010" s="2" t="s">
        <v>461</v>
      </c>
      <c r="D1010" s="4">
        <v>9.4054599999999997</v>
      </c>
      <c r="E1010" s="4">
        <v>8.1892099999999992</v>
      </c>
      <c r="F1010" s="4">
        <v>0.153</v>
      </c>
    </row>
    <row r="1011" spans="1:6" x14ac:dyDescent="0.35">
      <c r="A1011" s="2">
        <v>2262084501</v>
      </c>
      <c r="B1011" s="6" t="s">
        <v>1366</v>
      </c>
      <c r="C1011" s="2" t="s">
        <v>461</v>
      </c>
      <c r="D1011" s="4">
        <v>17.67032</v>
      </c>
      <c r="E1011" s="4">
        <v>14.58225</v>
      </c>
      <c r="F1011" s="4">
        <v>0.34429999999999999</v>
      </c>
    </row>
    <row r="1012" spans="1:6" x14ac:dyDescent="0.35">
      <c r="A1012" s="2">
        <v>2262084502</v>
      </c>
      <c r="B1012" s="6" t="s">
        <v>1367</v>
      </c>
      <c r="C1012" s="2" t="s">
        <v>461</v>
      </c>
      <c r="D1012" s="4">
        <v>15.15835</v>
      </c>
      <c r="E1012" s="4">
        <v>12.113910000000001</v>
      </c>
      <c r="F1012" s="4">
        <v>0.30066999999999999</v>
      </c>
    </row>
    <row r="1013" spans="1:6" x14ac:dyDescent="0.35">
      <c r="A1013" s="2">
        <v>2262084503</v>
      </c>
      <c r="B1013" s="6" t="s">
        <v>1368</v>
      </c>
      <c r="C1013" s="2" t="s">
        <v>461</v>
      </c>
      <c r="D1013" s="4">
        <v>18.750029999999999</v>
      </c>
      <c r="E1013" s="4">
        <v>17.288080000000001</v>
      </c>
      <c r="F1013" s="4">
        <v>0.3987</v>
      </c>
    </row>
    <row r="1014" spans="1:6" x14ac:dyDescent="0.35">
      <c r="A1014" s="2">
        <v>2262084504</v>
      </c>
      <c r="B1014" s="6" t="s">
        <v>1369</v>
      </c>
      <c r="C1014" s="2" t="s">
        <v>461</v>
      </c>
      <c r="D1014" s="4">
        <v>33.900889999999997</v>
      </c>
      <c r="E1014" s="4">
        <v>30.455970000000001</v>
      </c>
      <c r="F1014" s="4">
        <v>0.70115000000000005</v>
      </c>
    </row>
    <row r="1015" spans="1:6" x14ac:dyDescent="0.35">
      <c r="A1015" s="2">
        <v>2262084505</v>
      </c>
      <c r="B1015" s="6" t="s">
        <v>1370</v>
      </c>
      <c r="C1015" s="2" t="s">
        <v>461</v>
      </c>
      <c r="D1015" s="4">
        <v>58.766869999999997</v>
      </c>
      <c r="E1015" s="4">
        <v>54.663150000000002</v>
      </c>
      <c r="F1015" s="4">
        <v>1.35995</v>
      </c>
    </row>
    <row r="1016" spans="1:6" x14ac:dyDescent="0.35">
      <c r="A1016" s="2">
        <v>2262085301</v>
      </c>
      <c r="B1016" s="6" t="s">
        <v>1371</v>
      </c>
      <c r="C1016" s="2" t="s">
        <v>461</v>
      </c>
      <c r="D1016" s="4">
        <v>3.10636</v>
      </c>
      <c r="E1016" s="4">
        <v>1.76996</v>
      </c>
      <c r="F1016" s="4">
        <v>3.7659999999999999E-2</v>
      </c>
    </row>
    <row r="1017" spans="1:6" x14ac:dyDescent="0.35">
      <c r="A1017" s="2">
        <v>2262124501</v>
      </c>
      <c r="B1017" s="6" t="s">
        <v>1372</v>
      </c>
      <c r="C1017" s="2" t="s">
        <v>461</v>
      </c>
      <c r="D1017" s="4">
        <v>12.60661</v>
      </c>
      <c r="E1017" s="4">
        <v>11.296609999999999</v>
      </c>
      <c r="F1017" s="4">
        <v>0.24675</v>
      </c>
    </row>
    <row r="1018" spans="1:6" x14ac:dyDescent="0.35">
      <c r="A1018" s="2">
        <v>2263092301</v>
      </c>
      <c r="B1018" s="6" t="s">
        <v>1373</v>
      </c>
      <c r="C1018" s="2" t="s">
        <v>461</v>
      </c>
      <c r="D1018" s="4">
        <v>2.3852500000000001</v>
      </c>
      <c r="E1018" s="4">
        <v>1.1207400000000001</v>
      </c>
      <c r="F1018" s="4">
        <v>2.8750000000000001E-2</v>
      </c>
    </row>
    <row r="1019" spans="1:6" x14ac:dyDescent="0.35">
      <c r="A1019" s="2">
        <v>2263092401</v>
      </c>
      <c r="B1019" s="6" t="s">
        <v>1374</v>
      </c>
      <c r="C1019" s="2" t="s">
        <v>461</v>
      </c>
      <c r="D1019" s="4">
        <v>3.1116600000000001</v>
      </c>
      <c r="E1019" s="4">
        <v>1.8398300000000001</v>
      </c>
      <c r="F1019" s="4">
        <v>3.6069999999999998E-2</v>
      </c>
    </row>
    <row r="1020" spans="1:6" x14ac:dyDescent="0.35">
      <c r="A1020" s="2">
        <v>2263092402</v>
      </c>
      <c r="B1020" s="6" t="s">
        <v>1375</v>
      </c>
      <c r="C1020" s="2" t="s">
        <v>461</v>
      </c>
      <c r="D1020" s="4">
        <v>3.6244800000000001</v>
      </c>
      <c r="E1020" s="4">
        <v>2.3400400000000001</v>
      </c>
      <c r="F1020" s="4">
        <v>4.8680000000000001E-2</v>
      </c>
    </row>
    <row r="1021" spans="1:6" x14ac:dyDescent="0.35">
      <c r="A1021" s="2">
        <v>2263092403</v>
      </c>
      <c r="B1021" s="6" t="s">
        <v>1376</v>
      </c>
      <c r="C1021" s="2" t="s">
        <v>461</v>
      </c>
      <c r="D1021" s="4">
        <v>2.6743899999999998</v>
      </c>
      <c r="E1021" s="4">
        <v>1.40923</v>
      </c>
      <c r="F1021" s="4">
        <v>2.9399999999999999E-2</v>
      </c>
    </row>
    <row r="1022" spans="1:6" x14ac:dyDescent="0.35">
      <c r="A1022" s="2">
        <v>2263092404</v>
      </c>
      <c r="B1022" s="6" t="s">
        <v>1377</v>
      </c>
      <c r="C1022" s="2" t="s">
        <v>461</v>
      </c>
      <c r="D1022" s="4">
        <v>4.8372999999999999</v>
      </c>
      <c r="E1022" s="4">
        <v>3.7000799999999998</v>
      </c>
      <c r="F1022" s="4">
        <v>7.3969999999999994E-2</v>
      </c>
    </row>
    <row r="1023" spans="1:6" x14ac:dyDescent="0.35">
      <c r="A1023" s="2">
        <v>2263092405</v>
      </c>
      <c r="B1023" s="6" t="s">
        <v>1378</v>
      </c>
      <c r="C1023" s="2" t="s">
        <v>461</v>
      </c>
      <c r="D1023" s="4">
        <v>3.60215</v>
      </c>
      <c r="E1023" s="4">
        <v>2.5566</v>
      </c>
      <c r="F1023" s="4">
        <v>4.5310000000000003E-2</v>
      </c>
    </row>
    <row r="1024" spans="1:6" x14ac:dyDescent="0.35">
      <c r="A1024" s="2">
        <v>2263093401</v>
      </c>
      <c r="B1024" s="6" t="s">
        <v>1379</v>
      </c>
      <c r="C1024" s="2" t="s">
        <v>461</v>
      </c>
      <c r="D1024" s="4">
        <v>4.3740100000000002</v>
      </c>
      <c r="E1024" s="4">
        <v>3.2496700000000001</v>
      </c>
      <c r="F1024" s="4">
        <v>6.1089999999999998E-2</v>
      </c>
    </row>
    <row r="1025" spans="1:6" x14ac:dyDescent="0.35">
      <c r="A1025" s="2">
        <v>2263094301</v>
      </c>
      <c r="B1025" s="6" t="s">
        <v>1380</v>
      </c>
      <c r="C1025" s="2" t="s">
        <v>461</v>
      </c>
      <c r="D1025" s="4">
        <v>2.8795199999999999</v>
      </c>
      <c r="E1025" s="4">
        <v>1.61721</v>
      </c>
      <c r="F1025" s="4">
        <v>2.6550000000000001E-2</v>
      </c>
    </row>
    <row r="1026" spans="1:6" x14ac:dyDescent="0.35">
      <c r="A1026" s="2">
        <v>2263094302</v>
      </c>
      <c r="B1026" s="6" t="s">
        <v>1381</v>
      </c>
      <c r="C1026" s="2" t="s">
        <v>461</v>
      </c>
      <c r="D1026" s="4">
        <v>3.4799899999999999</v>
      </c>
      <c r="E1026" s="4">
        <v>2.4404699999999999</v>
      </c>
      <c r="F1026" s="4">
        <v>3.9280000000000002E-2</v>
      </c>
    </row>
    <row r="1027" spans="1:6" x14ac:dyDescent="0.35">
      <c r="A1027" s="2">
        <v>2263094303</v>
      </c>
      <c r="B1027" s="6" t="s">
        <v>1382</v>
      </c>
      <c r="C1027" s="2" t="s">
        <v>461</v>
      </c>
      <c r="D1027" s="4">
        <v>2.6660200000000001</v>
      </c>
      <c r="E1027" s="4">
        <v>1.39821</v>
      </c>
      <c r="F1027" s="4">
        <v>3.2050000000000002E-2</v>
      </c>
    </row>
    <row r="1028" spans="1:6" x14ac:dyDescent="0.35">
      <c r="A1028" s="2">
        <v>2263094304</v>
      </c>
      <c r="B1028" s="6" t="s">
        <v>1383</v>
      </c>
      <c r="C1028" s="2" t="s">
        <v>461</v>
      </c>
      <c r="D1028" s="4">
        <v>2.5085000000000002</v>
      </c>
      <c r="E1028" s="4">
        <v>1.24702</v>
      </c>
      <c r="F1028" s="4">
        <v>2.572E-2</v>
      </c>
    </row>
    <row r="1029" spans="1:6" x14ac:dyDescent="0.35">
      <c r="A1029" s="2">
        <v>2263094305</v>
      </c>
      <c r="B1029" s="6" t="s">
        <v>1384</v>
      </c>
      <c r="C1029" s="2" t="s">
        <v>461</v>
      </c>
      <c r="D1029" s="4">
        <v>3.1323599999999998</v>
      </c>
      <c r="E1029" s="4">
        <v>2.0986600000000002</v>
      </c>
      <c r="F1029" s="4">
        <v>3.3459999999999997E-2</v>
      </c>
    </row>
    <row r="1030" spans="1:6" x14ac:dyDescent="0.35">
      <c r="A1030" s="2">
        <v>2263094306</v>
      </c>
      <c r="B1030" s="6" t="s">
        <v>1385</v>
      </c>
      <c r="C1030" s="2" t="s">
        <v>461</v>
      </c>
      <c r="D1030" s="4">
        <v>4.1270199999999999</v>
      </c>
      <c r="E1030" s="4">
        <v>3.0644900000000002</v>
      </c>
      <c r="F1030" s="4">
        <v>6.2289999999999998E-2</v>
      </c>
    </row>
    <row r="1031" spans="1:6" x14ac:dyDescent="0.35">
      <c r="A1031" s="2">
        <v>2263094307</v>
      </c>
      <c r="B1031" s="6" t="s">
        <v>1386</v>
      </c>
      <c r="C1031" s="2" t="s">
        <v>461</v>
      </c>
      <c r="D1031" s="4">
        <v>3.2488999999999999</v>
      </c>
      <c r="E1031" s="4">
        <v>1.97278</v>
      </c>
      <c r="F1031" s="4">
        <v>4.036E-2</v>
      </c>
    </row>
    <row r="1032" spans="1:6" x14ac:dyDescent="0.35">
      <c r="A1032" s="2">
        <v>2263094308</v>
      </c>
      <c r="B1032" s="6" t="s">
        <v>1387</v>
      </c>
      <c r="C1032" s="2" t="s">
        <v>461</v>
      </c>
      <c r="D1032" s="4">
        <v>3.9557199999999999</v>
      </c>
      <c r="E1032" s="4">
        <v>2.66337</v>
      </c>
      <c r="F1032" s="4">
        <v>5.6590000000000001E-2</v>
      </c>
    </row>
    <row r="1033" spans="1:6" x14ac:dyDescent="0.35">
      <c r="A1033" s="2">
        <v>2263094309</v>
      </c>
      <c r="B1033" s="6" t="s">
        <v>1388</v>
      </c>
      <c r="C1033" s="2" t="s">
        <v>461</v>
      </c>
      <c r="D1033" s="4">
        <v>3.2488999999999999</v>
      </c>
      <c r="E1033" s="4">
        <v>1.97278</v>
      </c>
      <c r="F1033" s="4">
        <v>4.036E-2</v>
      </c>
    </row>
    <row r="1034" spans="1:6" x14ac:dyDescent="0.35">
      <c r="A1034" s="2">
        <v>2263094310</v>
      </c>
      <c r="B1034" s="6" t="s">
        <v>1389</v>
      </c>
      <c r="C1034" s="2" t="s">
        <v>461</v>
      </c>
      <c r="D1034" s="4">
        <v>3.5552600000000001</v>
      </c>
      <c r="E1034" s="4">
        <v>2.5032100000000002</v>
      </c>
      <c r="F1034" s="4">
        <v>5.1810000000000002E-2</v>
      </c>
    </row>
    <row r="1035" spans="1:6" x14ac:dyDescent="0.35">
      <c r="A1035" s="2">
        <v>2263094311</v>
      </c>
      <c r="B1035" s="6" t="s">
        <v>1390</v>
      </c>
      <c r="C1035" s="2" t="s">
        <v>461</v>
      </c>
      <c r="D1035" s="4">
        <v>3.4799899999999999</v>
      </c>
      <c r="E1035" s="4">
        <v>2.4404699999999999</v>
      </c>
      <c r="F1035" s="4">
        <v>3.9280000000000002E-2</v>
      </c>
    </row>
    <row r="1036" spans="1:6" x14ac:dyDescent="0.35">
      <c r="A1036" s="2">
        <v>2263094401</v>
      </c>
      <c r="B1036" s="6" t="s">
        <v>1391</v>
      </c>
      <c r="C1036" s="2" t="s">
        <v>461</v>
      </c>
      <c r="D1036" s="4">
        <v>3.3332899999999999</v>
      </c>
      <c r="E1036" s="4">
        <v>2.2931599999999999</v>
      </c>
      <c r="F1036" s="4">
        <v>3.9890000000000002E-2</v>
      </c>
    </row>
    <row r="1037" spans="1:6" x14ac:dyDescent="0.35">
      <c r="A1037" s="2">
        <v>2263094402</v>
      </c>
      <c r="B1037" s="6" t="s">
        <v>1392</v>
      </c>
      <c r="C1037" s="2" t="s">
        <v>461</v>
      </c>
      <c r="D1037" s="4">
        <v>4.31935</v>
      </c>
      <c r="E1037" s="4">
        <v>3.0270800000000002</v>
      </c>
      <c r="F1037" s="4">
        <v>5.6509999999999998E-2</v>
      </c>
    </row>
    <row r="1038" spans="1:6" x14ac:dyDescent="0.35">
      <c r="A1038" s="2">
        <v>2263094403</v>
      </c>
      <c r="B1038" s="6" t="s">
        <v>1393</v>
      </c>
      <c r="C1038" s="2" t="s">
        <v>461</v>
      </c>
      <c r="D1038" s="4">
        <v>3.82199</v>
      </c>
      <c r="E1038" s="4">
        <v>2.7806500000000001</v>
      </c>
      <c r="F1038" s="4">
        <v>4.1099999999999998E-2</v>
      </c>
    </row>
    <row r="1039" spans="1:6" x14ac:dyDescent="0.35">
      <c r="A1039" s="2">
        <v>2263094404</v>
      </c>
      <c r="B1039" s="6" t="s">
        <v>1394</v>
      </c>
      <c r="C1039" s="2" t="s">
        <v>461</v>
      </c>
      <c r="D1039" s="4">
        <v>5.3404600000000002</v>
      </c>
      <c r="E1039" s="4">
        <v>4.1881500000000003</v>
      </c>
      <c r="F1039" s="4">
        <v>8.906E-2</v>
      </c>
    </row>
    <row r="1040" spans="1:6" x14ac:dyDescent="0.35">
      <c r="A1040" s="2">
        <v>2263094405</v>
      </c>
      <c r="B1040" s="6" t="s">
        <v>1395</v>
      </c>
      <c r="C1040" s="2" t="s">
        <v>461</v>
      </c>
      <c r="D1040" s="4">
        <v>4.81555</v>
      </c>
      <c r="E1040" s="4">
        <v>3.52399</v>
      </c>
      <c r="F1040" s="4">
        <v>5.5800000000000002E-2</v>
      </c>
    </row>
    <row r="1041" spans="1:6" x14ac:dyDescent="0.35">
      <c r="A1041" s="2">
        <v>2263094406</v>
      </c>
      <c r="B1041" s="6" t="s">
        <v>1396</v>
      </c>
      <c r="C1041" s="2" t="s">
        <v>461</v>
      </c>
      <c r="D1041" s="4">
        <v>4.17164</v>
      </c>
      <c r="E1041" s="4">
        <v>3.1147200000000002</v>
      </c>
      <c r="F1041" s="4">
        <v>5.6680000000000001E-2</v>
      </c>
    </row>
    <row r="1042" spans="1:6" x14ac:dyDescent="0.35">
      <c r="A1042" s="2">
        <v>2263094407</v>
      </c>
      <c r="B1042" s="6" t="s">
        <v>1397</v>
      </c>
      <c r="C1042" s="2" t="s">
        <v>461</v>
      </c>
      <c r="D1042" s="4">
        <v>4.81555</v>
      </c>
      <c r="E1042" s="4">
        <v>3.52399</v>
      </c>
      <c r="F1042" s="4">
        <v>5.5800000000000002E-2</v>
      </c>
    </row>
    <row r="1043" spans="1:6" x14ac:dyDescent="0.35">
      <c r="A1043" s="2">
        <v>2263094413</v>
      </c>
      <c r="B1043" s="6" t="s">
        <v>1398</v>
      </c>
      <c r="C1043" s="2" t="s">
        <v>461</v>
      </c>
      <c r="D1043" s="4">
        <v>5.9181699999999999</v>
      </c>
      <c r="E1043" s="4">
        <v>4.7670899999999996</v>
      </c>
      <c r="F1043" s="4">
        <v>8.7830000000000005E-2</v>
      </c>
    </row>
    <row r="1044" spans="1:6" x14ac:dyDescent="0.35">
      <c r="A1044" s="2">
        <v>2263094414</v>
      </c>
      <c r="B1044" s="6" t="s">
        <v>1399</v>
      </c>
      <c r="C1044" s="2" t="s">
        <v>461</v>
      </c>
      <c r="D1044" s="4">
        <v>6.63354</v>
      </c>
      <c r="E1044" s="4">
        <v>5.4811899999999998</v>
      </c>
      <c r="F1044" s="4">
        <v>8.9099999999999999E-2</v>
      </c>
    </row>
    <row r="1045" spans="1:6" x14ac:dyDescent="0.35">
      <c r="A1045" s="2">
        <v>2263095301</v>
      </c>
      <c r="B1045" s="6" t="s">
        <v>1400</v>
      </c>
      <c r="C1045" s="2" t="s">
        <v>461</v>
      </c>
      <c r="D1045" s="4">
        <v>4.2948199999999996</v>
      </c>
      <c r="E1045" s="4">
        <v>2.9969000000000001</v>
      </c>
      <c r="F1045" s="4">
        <v>6.216E-2</v>
      </c>
    </row>
    <row r="1046" spans="1:6" x14ac:dyDescent="0.35">
      <c r="A1046" s="2">
        <v>2264102401</v>
      </c>
      <c r="B1046" s="6" t="s">
        <v>1401</v>
      </c>
      <c r="C1046" s="2" t="s">
        <v>461</v>
      </c>
      <c r="D1046" s="4">
        <v>3.5750600000000001</v>
      </c>
      <c r="E1046" s="4">
        <v>2.4642599999999999</v>
      </c>
      <c r="F1046" s="4">
        <v>4.7550000000000002E-2</v>
      </c>
    </row>
    <row r="1047" spans="1:6" x14ac:dyDescent="0.35">
      <c r="A1047" s="2">
        <v>2264102402</v>
      </c>
      <c r="B1047" s="6" t="s">
        <v>1402</v>
      </c>
      <c r="C1047" s="2" t="s">
        <v>461</v>
      </c>
      <c r="D1047" s="4">
        <v>3.11808</v>
      </c>
      <c r="E1047" s="4">
        <v>2.07931</v>
      </c>
      <c r="F1047" s="4">
        <v>3.8530000000000002E-2</v>
      </c>
    </row>
    <row r="1048" spans="1:6" x14ac:dyDescent="0.35">
      <c r="A1048" s="2">
        <v>2264102403</v>
      </c>
      <c r="B1048" s="6" t="s">
        <v>1403</v>
      </c>
      <c r="C1048" s="2" t="s">
        <v>461</v>
      </c>
      <c r="D1048" s="4">
        <v>3.15503</v>
      </c>
      <c r="E1048" s="4">
        <v>2.11619</v>
      </c>
      <c r="F1048" s="4">
        <v>3.8600000000000002E-2</v>
      </c>
    </row>
    <row r="1049" spans="1:6" x14ac:dyDescent="0.35">
      <c r="A1049" s="2">
        <v>2264102404</v>
      </c>
      <c r="B1049" s="6" t="s">
        <v>1404</v>
      </c>
      <c r="C1049" s="2" t="s">
        <v>461</v>
      </c>
      <c r="D1049" s="4">
        <v>3.15503</v>
      </c>
      <c r="E1049" s="4">
        <v>2.11619</v>
      </c>
      <c r="F1049" s="4">
        <v>3.8600000000000002E-2</v>
      </c>
    </row>
    <row r="1050" spans="1:6" x14ac:dyDescent="0.35">
      <c r="A1050" s="2">
        <v>2264102405</v>
      </c>
      <c r="B1050" s="6" t="s">
        <v>1405</v>
      </c>
      <c r="C1050" s="2" t="s">
        <v>461</v>
      </c>
      <c r="D1050" s="4">
        <v>3.1201099999999999</v>
      </c>
      <c r="E1050" s="4">
        <v>2.08134</v>
      </c>
      <c r="F1050" s="4">
        <v>3.8530000000000002E-2</v>
      </c>
    </row>
    <row r="1051" spans="1:6" x14ac:dyDescent="0.35">
      <c r="A1051" s="2">
        <v>2264102406</v>
      </c>
      <c r="B1051" s="6" t="s">
        <v>1406</v>
      </c>
      <c r="C1051" s="2" t="s">
        <v>461</v>
      </c>
      <c r="D1051" s="4">
        <v>3.5750600000000001</v>
      </c>
      <c r="E1051" s="4">
        <v>2.4642599999999999</v>
      </c>
      <c r="F1051" s="4">
        <v>4.7550000000000002E-2</v>
      </c>
    </row>
    <row r="1052" spans="1:6" x14ac:dyDescent="0.35">
      <c r="A1052" s="2">
        <v>2264104301</v>
      </c>
      <c r="B1052" s="6" t="s">
        <v>1407</v>
      </c>
      <c r="C1052" s="2" t="s">
        <v>461</v>
      </c>
      <c r="D1052" s="4">
        <v>4.0399799999999999</v>
      </c>
      <c r="E1052" s="4">
        <v>2.9868199999999998</v>
      </c>
      <c r="F1052" s="4">
        <v>5.2920000000000002E-2</v>
      </c>
    </row>
    <row r="1053" spans="1:6" x14ac:dyDescent="0.35">
      <c r="A1053" s="2">
        <v>2264104302</v>
      </c>
      <c r="B1053" s="6" t="s">
        <v>1408</v>
      </c>
      <c r="C1053" s="2" t="s">
        <v>461</v>
      </c>
      <c r="D1053" s="4">
        <v>4.0399799999999999</v>
      </c>
      <c r="E1053" s="4">
        <v>2.9868199999999998</v>
      </c>
      <c r="F1053" s="4">
        <v>5.2920000000000002E-2</v>
      </c>
    </row>
    <row r="1054" spans="1:6" x14ac:dyDescent="0.35">
      <c r="A1054" s="2">
        <v>2264104401</v>
      </c>
      <c r="B1054" s="6" t="s">
        <v>1409</v>
      </c>
      <c r="C1054" s="2" t="s">
        <v>461</v>
      </c>
      <c r="D1054" s="4">
        <v>8.8806799999999999</v>
      </c>
      <c r="E1054" s="4">
        <v>7.6786300000000001</v>
      </c>
      <c r="F1054" s="4">
        <v>0.13880000000000001</v>
      </c>
    </row>
    <row r="1055" spans="1:6" x14ac:dyDescent="0.35">
      <c r="A1055" s="2">
        <v>2264104402</v>
      </c>
      <c r="B1055" s="6" t="s">
        <v>1410</v>
      </c>
      <c r="C1055" s="2" t="s">
        <v>461</v>
      </c>
      <c r="D1055" s="4">
        <v>4.8974900000000003</v>
      </c>
      <c r="E1055" s="4">
        <v>3.7715800000000002</v>
      </c>
      <c r="F1055" s="4">
        <v>6.2659999999999993E-2</v>
      </c>
    </row>
    <row r="1056" spans="1:6" x14ac:dyDescent="0.35">
      <c r="A1056" s="2">
        <v>2264104403</v>
      </c>
      <c r="B1056" s="6" t="s">
        <v>1411</v>
      </c>
      <c r="C1056" s="2" t="s">
        <v>461</v>
      </c>
      <c r="D1056" s="4">
        <v>4.0968799999999996</v>
      </c>
      <c r="E1056" s="4">
        <v>3.0436000000000001</v>
      </c>
      <c r="F1056" s="4">
        <v>5.3039999999999997E-2</v>
      </c>
    </row>
    <row r="1057" spans="1:6" x14ac:dyDescent="0.35">
      <c r="A1057" s="2">
        <v>2264104404</v>
      </c>
      <c r="B1057" s="6" t="s">
        <v>1412</v>
      </c>
      <c r="C1057" s="2" t="s">
        <v>461</v>
      </c>
      <c r="D1057" s="4">
        <v>4.0968799999999996</v>
      </c>
      <c r="E1057" s="4">
        <v>3.0436000000000001</v>
      </c>
      <c r="F1057" s="4">
        <v>5.3039999999999997E-2</v>
      </c>
    </row>
    <row r="1058" spans="1:6" x14ac:dyDescent="0.35">
      <c r="A1058" s="2">
        <v>2264104405</v>
      </c>
      <c r="B1058" s="6" t="s">
        <v>1413</v>
      </c>
      <c r="C1058" s="2" t="s">
        <v>461</v>
      </c>
      <c r="D1058" s="4">
        <v>4.8974900000000003</v>
      </c>
      <c r="E1058" s="4">
        <v>3.7715800000000002</v>
      </c>
      <c r="F1058" s="4">
        <v>6.2659999999999993E-2</v>
      </c>
    </row>
    <row r="1059" spans="1:6" x14ac:dyDescent="0.35">
      <c r="A1059" s="2">
        <v>2264104406</v>
      </c>
      <c r="B1059" s="6" t="s">
        <v>1414</v>
      </c>
      <c r="C1059" s="2" t="s">
        <v>461</v>
      </c>
      <c r="D1059" s="4">
        <v>4.0968799999999996</v>
      </c>
      <c r="E1059" s="4">
        <v>3.0436000000000001</v>
      </c>
      <c r="F1059" s="4">
        <v>5.3039999999999997E-2</v>
      </c>
    </row>
    <row r="1060" spans="1:6" x14ac:dyDescent="0.35">
      <c r="A1060" s="2">
        <v>2264104407</v>
      </c>
      <c r="B1060" s="6" t="s">
        <v>1415</v>
      </c>
      <c r="C1060" s="2" t="s">
        <v>461</v>
      </c>
      <c r="D1060" s="4">
        <v>4.0968799999999996</v>
      </c>
      <c r="E1060" s="4">
        <v>3.0436000000000001</v>
      </c>
      <c r="F1060" s="4">
        <v>5.3039999999999997E-2</v>
      </c>
    </row>
    <row r="1061" spans="1:6" x14ac:dyDescent="0.35">
      <c r="A1061" s="2">
        <v>2264104408</v>
      </c>
      <c r="B1061" s="6" t="s">
        <v>1416</v>
      </c>
      <c r="C1061" s="2" t="s">
        <v>461</v>
      </c>
      <c r="D1061" s="4">
        <v>4.8974900000000003</v>
      </c>
      <c r="E1061" s="4">
        <v>3.7715800000000002</v>
      </c>
      <c r="F1061" s="4">
        <v>6.2659999999999993E-2</v>
      </c>
    </row>
    <row r="1062" spans="1:6" x14ac:dyDescent="0.35">
      <c r="A1062" s="2">
        <v>2264104409</v>
      </c>
      <c r="B1062" s="6" t="s">
        <v>1417</v>
      </c>
      <c r="C1062" s="2" t="s">
        <v>461</v>
      </c>
      <c r="D1062" s="4">
        <v>4.0968999999999998</v>
      </c>
      <c r="E1062" s="4">
        <v>3.0436200000000002</v>
      </c>
      <c r="F1062" s="4">
        <v>5.3039999999999997E-2</v>
      </c>
    </row>
    <row r="1063" spans="1:6" x14ac:dyDescent="0.35">
      <c r="A1063" s="2">
        <v>2264104410</v>
      </c>
      <c r="B1063" s="6" t="s">
        <v>1418</v>
      </c>
      <c r="C1063" s="2" t="s">
        <v>461</v>
      </c>
      <c r="D1063" s="4">
        <v>4.3995199999999999</v>
      </c>
      <c r="E1063" s="4">
        <v>3.34666</v>
      </c>
      <c r="F1063" s="4">
        <v>5.262E-2</v>
      </c>
    </row>
    <row r="1064" spans="1:6" x14ac:dyDescent="0.35">
      <c r="A1064" s="2">
        <v>2264104411</v>
      </c>
      <c r="B1064" s="6" t="s">
        <v>1419</v>
      </c>
      <c r="C1064" s="2" t="s">
        <v>461</v>
      </c>
      <c r="D1064" s="4">
        <v>4.0972600000000003</v>
      </c>
      <c r="E1064" s="4">
        <v>3.0439799999999999</v>
      </c>
      <c r="F1064" s="4">
        <v>5.3039999999999997E-2</v>
      </c>
    </row>
    <row r="1065" spans="1:6" x14ac:dyDescent="0.35">
      <c r="A1065" s="2">
        <v>2264104412</v>
      </c>
      <c r="B1065" s="6" t="s">
        <v>1420</v>
      </c>
      <c r="C1065" s="2" t="s">
        <v>461</v>
      </c>
      <c r="D1065" s="4">
        <v>4.6878299999999999</v>
      </c>
      <c r="E1065" s="4">
        <v>3.6334499999999998</v>
      </c>
      <c r="F1065" s="4">
        <v>5.4140000000000001E-2</v>
      </c>
    </row>
    <row r="1066" spans="1:6" x14ac:dyDescent="0.35">
      <c r="A1066" s="2">
        <v>2264104501</v>
      </c>
      <c r="B1066" s="6" t="s">
        <v>1421</v>
      </c>
      <c r="C1066" s="2" t="s">
        <v>461</v>
      </c>
      <c r="D1066" s="4">
        <v>14.07253</v>
      </c>
      <c r="E1066" s="4">
        <v>12.536709999999999</v>
      </c>
      <c r="F1066" s="4">
        <v>0.23708000000000001</v>
      </c>
    </row>
    <row r="1067" spans="1:6" x14ac:dyDescent="0.35">
      <c r="A1067" s="2">
        <v>2264104502</v>
      </c>
      <c r="B1067" s="6" t="s">
        <v>1422</v>
      </c>
      <c r="C1067" s="2" t="s">
        <v>461</v>
      </c>
      <c r="D1067" s="4">
        <v>13.40236</v>
      </c>
      <c r="E1067" s="4">
        <v>12.115919999999999</v>
      </c>
      <c r="F1067" s="4">
        <v>0.22319</v>
      </c>
    </row>
    <row r="1068" spans="1:6" x14ac:dyDescent="0.35">
      <c r="A1068" s="2">
        <v>2307000001</v>
      </c>
      <c r="B1068" s="6" t="s">
        <v>1423</v>
      </c>
      <c r="C1068" s="2" t="s">
        <v>461</v>
      </c>
      <c r="D1068" s="4">
        <v>1.4307300000000001</v>
      </c>
      <c r="E1068" s="4">
        <v>1.4307300000000001</v>
      </c>
      <c r="F1068" s="4">
        <v>0</v>
      </c>
    </row>
    <row r="1069" spans="1:6" x14ac:dyDescent="0.35">
      <c r="A1069" s="2">
        <v>2307000003</v>
      </c>
      <c r="B1069" s="6" t="s">
        <v>1424</v>
      </c>
      <c r="C1069" s="2" t="s">
        <v>461</v>
      </c>
      <c r="D1069" s="4">
        <v>1.4942200000000001</v>
      </c>
      <c r="E1069" s="4">
        <v>1.4942200000000001</v>
      </c>
      <c r="F1069" s="4">
        <v>0</v>
      </c>
    </row>
    <row r="1070" spans="1:6" x14ac:dyDescent="0.35">
      <c r="A1070" s="2">
        <v>2405000028</v>
      </c>
      <c r="B1070" s="6" t="s">
        <v>1425</v>
      </c>
      <c r="C1070" s="2" t="s">
        <v>461</v>
      </c>
      <c r="D1070" s="4">
        <v>11.593299999999999</v>
      </c>
      <c r="E1070" s="4">
        <v>11.42197</v>
      </c>
      <c r="F1070" s="4">
        <v>0.17133000000000001</v>
      </c>
    </row>
    <row r="1071" spans="1:6" x14ac:dyDescent="0.35">
      <c r="A1071" s="2">
        <v>2405001022</v>
      </c>
      <c r="B1071" s="6" t="s">
        <v>1426</v>
      </c>
      <c r="C1071" s="2" t="s">
        <v>461</v>
      </c>
      <c r="D1071" s="4">
        <v>5.4503500000000003</v>
      </c>
      <c r="E1071" s="4">
        <v>5.4503500000000003</v>
      </c>
      <c r="F1071" s="4">
        <v>0</v>
      </c>
    </row>
    <row r="1072" spans="1:6" x14ac:dyDescent="0.35">
      <c r="A1072" s="2">
        <v>2405001023</v>
      </c>
      <c r="B1072" s="6" t="s">
        <v>1427</v>
      </c>
      <c r="C1072" s="2" t="s">
        <v>461</v>
      </c>
      <c r="D1072" s="4">
        <v>5.4503500000000003</v>
      </c>
      <c r="E1072" s="4">
        <v>5.4503500000000003</v>
      </c>
      <c r="F1072" s="4">
        <v>0</v>
      </c>
    </row>
    <row r="1073" spans="1:6" x14ac:dyDescent="0.35">
      <c r="A1073" s="2">
        <v>2405001024</v>
      </c>
      <c r="B1073" s="6" t="s">
        <v>1428</v>
      </c>
      <c r="C1073" s="2" t="s">
        <v>461</v>
      </c>
      <c r="D1073" s="4">
        <v>5.4503500000000003</v>
      </c>
      <c r="E1073" s="4">
        <v>5.4503500000000003</v>
      </c>
      <c r="F1073" s="4">
        <v>0</v>
      </c>
    </row>
    <row r="1074" spans="1:6" x14ac:dyDescent="0.35">
      <c r="A1074" s="2">
        <v>2405001025</v>
      </c>
      <c r="B1074" s="6" t="s">
        <v>1429</v>
      </c>
      <c r="C1074" s="2" t="s">
        <v>461</v>
      </c>
      <c r="D1074" s="4">
        <v>5.4503500000000003</v>
      </c>
      <c r="E1074" s="4">
        <v>5.4503500000000003</v>
      </c>
      <c r="F1074" s="4">
        <v>0</v>
      </c>
    </row>
    <row r="1075" spans="1:6" x14ac:dyDescent="0.35">
      <c r="A1075" s="2">
        <v>2405001026</v>
      </c>
      <c r="B1075" s="6" t="s">
        <v>1430</v>
      </c>
      <c r="C1075" s="2" t="s">
        <v>461</v>
      </c>
      <c r="D1075" s="4">
        <v>9.9985999999999997</v>
      </c>
      <c r="E1075" s="4">
        <v>9.8508399999999998</v>
      </c>
      <c r="F1075" s="4">
        <v>0.14776</v>
      </c>
    </row>
    <row r="1076" spans="1:6" x14ac:dyDescent="0.35">
      <c r="A1076" s="2">
        <v>2405001027</v>
      </c>
      <c r="B1076" s="6" t="s">
        <v>1431</v>
      </c>
      <c r="C1076" s="2" t="s">
        <v>461</v>
      </c>
      <c r="D1076" s="4">
        <v>10.23969</v>
      </c>
      <c r="E1076" s="4">
        <v>10.08836</v>
      </c>
      <c r="F1076" s="4">
        <v>0.15132999999999999</v>
      </c>
    </row>
    <row r="1077" spans="1:6" x14ac:dyDescent="0.35">
      <c r="A1077" s="2">
        <v>2405001028</v>
      </c>
      <c r="B1077" s="6" t="s">
        <v>1432</v>
      </c>
      <c r="C1077" s="2" t="s">
        <v>461</v>
      </c>
      <c r="D1077" s="4">
        <v>28.67774</v>
      </c>
      <c r="E1077" s="4">
        <v>28.25393</v>
      </c>
      <c r="F1077" s="4">
        <v>0.42381000000000002</v>
      </c>
    </row>
    <row r="1078" spans="1:6" x14ac:dyDescent="0.35">
      <c r="A1078" s="2">
        <v>2405001029</v>
      </c>
      <c r="B1078" s="6" t="s">
        <v>1433</v>
      </c>
      <c r="C1078" s="2" t="s">
        <v>461</v>
      </c>
      <c r="D1078" s="4">
        <v>29.065660000000001</v>
      </c>
      <c r="E1078" s="4">
        <v>28.636119999999998</v>
      </c>
      <c r="F1078" s="4">
        <v>0.42953999999999998</v>
      </c>
    </row>
    <row r="1079" spans="1:6" x14ac:dyDescent="0.35">
      <c r="A1079" s="2">
        <v>2405001030</v>
      </c>
      <c r="B1079" s="6" t="s">
        <v>1434</v>
      </c>
      <c r="C1079" s="2" t="s">
        <v>461</v>
      </c>
      <c r="D1079" s="4">
        <v>9.9985999999999997</v>
      </c>
      <c r="E1079" s="4">
        <v>9.8508399999999998</v>
      </c>
      <c r="F1079" s="4">
        <v>0.14776</v>
      </c>
    </row>
    <row r="1080" spans="1:6" x14ac:dyDescent="0.35">
      <c r="A1080" s="2">
        <v>2405001031</v>
      </c>
      <c r="B1080" s="6" t="s">
        <v>1435</v>
      </c>
      <c r="C1080" s="2" t="s">
        <v>461</v>
      </c>
      <c r="D1080" s="4">
        <v>25.147819999999999</v>
      </c>
      <c r="E1080" s="4">
        <v>24.77618</v>
      </c>
      <c r="F1080" s="4">
        <v>0.37164000000000003</v>
      </c>
    </row>
    <row r="1081" spans="1:6" x14ac:dyDescent="0.35">
      <c r="A1081" s="2">
        <v>2405001032</v>
      </c>
      <c r="B1081" s="6" t="s">
        <v>1436</v>
      </c>
      <c r="C1081" s="2" t="s">
        <v>461</v>
      </c>
      <c r="D1081" s="4">
        <v>29.065660000000001</v>
      </c>
      <c r="E1081" s="4">
        <v>28.636119999999998</v>
      </c>
      <c r="F1081" s="4">
        <v>0.42953999999999998</v>
      </c>
    </row>
    <row r="1082" spans="1:6" x14ac:dyDescent="0.35">
      <c r="A1082" s="2">
        <v>2405001033</v>
      </c>
      <c r="B1082" s="6" t="s">
        <v>1437</v>
      </c>
      <c r="C1082" s="2" t="s">
        <v>461</v>
      </c>
      <c r="D1082" s="4">
        <v>25.96041</v>
      </c>
      <c r="E1082" s="4">
        <v>25.57676</v>
      </c>
      <c r="F1082" s="4">
        <v>0.38364999999999999</v>
      </c>
    </row>
    <row r="1083" spans="1:6" x14ac:dyDescent="0.35">
      <c r="A1083" s="2">
        <v>2405001034</v>
      </c>
      <c r="B1083" s="6" t="s">
        <v>1438</v>
      </c>
      <c r="C1083" s="2" t="s">
        <v>461</v>
      </c>
      <c r="D1083" s="4">
        <v>24.78</v>
      </c>
      <c r="E1083" s="4">
        <v>24.41</v>
      </c>
      <c r="F1083" s="4">
        <v>0.37</v>
      </c>
    </row>
    <row r="1084" spans="1:6" x14ac:dyDescent="0.35">
      <c r="A1084" s="2">
        <v>38540498</v>
      </c>
      <c r="B1084" s="6" t="s">
        <v>1439</v>
      </c>
      <c r="C1084" s="2" t="s">
        <v>1440</v>
      </c>
      <c r="D1084" s="4">
        <v>767.28</v>
      </c>
      <c r="E1084" s="4">
        <v>667.2</v>
      </c>
      <c r="F1084" s="4">
        <v>100.08</v>
      </c>
    </row>
    <row r="1085" spans="1:6" x14ac:dyDescent="0.35">
      <c r="A1085" s="2">
        <v>43540944</v>
      </c>
      <c r="B1085" s="6" t="s">
        <v>1441</v>
      </c>
      <c r="C1085" s="2" t="s">
        <v>461</v>
      </c>
      <c r="D1085" s="4">
        <v>3.0720000000000001</v>
      </c>
      <c r="E1085" s="4">
        <v>1.28</v>
      </c>
      <c r="F1085" s="4">
        <v>1.792</v>
      </c>
    </row>
    <row r="1086" spans="1:6" x14ac:dyDescent="0.35">
      <c r="A1086" s="2" t="s">
        <v>1442</v>
      </c>
      <c r="B1086" s="6" t="s">
        <v>1443</v>
      </c>
      <c r="C1086" s="2" t="s">
        <v>461</v>
      </c>
      <c r="D1086" s="4">
        <v>0.26304</v>
      </c>
      <c r="E1086" s="4">
        <v>0.13408</v>
      </c>
      <c r="F1086" s="4">
        <v>1.92E-3</v>
      </c>
    </row>
    <row r="1087" spans="1:6" x14ac:dyDescent="0.35">
      <c r="A1087" s="2" t="s">
        <v>1444</v>
      </c>
      <c r="B1087" s="6" t="s">
        <v>1445</v>
      </c>
      <c r="C1087" s="2" t="s">
        <v>461</v>
      </c>
      <c r="D1087" s="4">
        <v>0.35199999999999998</v>
      </c>
      <c r="E1087" s="4">
        <v>0.14848</v>
      </c>
      <c r="F1087" s="4">
        <v>2.2399999999999998E-3</v>
      </c>
    </row>
    <row r="1088" spans="1:6" x14ac:dyDescent="0.35">
      <c r="A1088" s="2" t="s">
        <v>1446</v>
      </c>
      <c r="B1088" s="6" t="s">
        <v>1447</v>
      </c>
      <c r="C1088" s="2" t="s">
        <v>461</v>
      </c>
      <c r="D1088" s="4">
        <v>0.35424</v>
      </c>
      <c r="E1088" s="4">
        <v>0.14879999999999999</v>
      </c>
      <c r="F1088" s="4">
        <v>2.2399999999999998E-3</v>
      </c>
    </row>
    <row r="1089" spans="1:6" x14ac:dyDescent="0.35">
      <c r="A1089" s="2" t="s">
        <v>1448</v>
      </c>
      <c r="B1089" s="6" t="s">
        <v>1449</v>
      </c>
      <c r="C1089" s="2" t="s">
        <v>461</v>
      </c>
      <c r="D1089" s="4">
        <v>0.64544000000000001</v>
      </c>
      <c r="E1089" s="4">
        <v>0.47616000000000003</v>
      </c>
      <c r="F1089" s="4">
        <v>3.2000000000000002E-3</v>
      </c>
    </row>
    <row r="1090" spans="1:6" x14ac:dyDescent="0.35">
      <c r="A1090" s="2" t="s">
        <v>1450</v>
      </c>
      <c r="B1090" s="6" t="s">
        <v>1451</v>
      </c>
      <c r="C1090" s="2" t="s">
        <v>461</v>
      </c>
      <c r="D1090" s="4">
        <v>0.47327999999999998</v>
      </c>
      <c r="E1090" s="4">
        <v>0.30399999999999999</v>
      </c>
      <c r="F1090" s="4">
        <v>3.2000000000000002E-3</v>
      </c>
    </row>
    <row r="1091" spans="1:6" x14ac:dyDescent="0.35">
      <c r="A1091" s="2" t="s">
        <v>1452</v>
      </c>
      <c r="B1091" s="6" t="s">
        <v>1453</v>
      </c>
      <c r="C1091" s="2" t="s">
        <v>461</v>
      </c>
      <c r="D1091" s="4">
        <v>0.44928000000000001</v>
      </c>
      <c r="E1091" s="4">
        <v>0.22911999999999999</v>
      </c>
      <c r="F1091" s="4">
        <v>3.5200000000000001E-3</v>
      </c>
    </row>
    <row r="1092" spans="1:6" x14ac:dyDescent="0.35">
      <c r="A1092" s="2" t="s">
        <v>1454</v>
      </c>
      <c r="B1092" s="6" t="s">
        <v>1455</v>
      </c>
      <c r="C1092" s="2" t="s">
        <v>461</v>
      </c>
      <c r="D1092" s="4">
        <v>0.33600000000000002</v>
      </c>
      <c r="E1092" s="4">
        <v>0.21695999999999999</v>
      </c>
      <c r="F1092" s="4">
        <v>1.6000000000000001E-3</v>
      </c>
    </row>
    <row r="1093" spans="1:6" x14ac:dyDescent="0.35">
      <c r="A1093" s="2" t="s">
        <v>1456</v>
      </c>
      <c r="B1093" s="6" t="s">
        <v>1457</v>
      </c>
      <c r="C1093" s="2" t="s">
        <v>461</v>
      </c>
      <c r="D1093" s="4">
        <v>0.42815999999999999</v>
      </c>
      <c r="E1093" s="4">
        <v>0.25951999999999997</v>
      </c>
      <c r="F1093" s="4">
        <v>1.92E-3</v>
      </c>
    </row>
    <row r="1094" spans="1:6" x14ac:dyDescent="0.35">
      <c r="A1094" s="2" t="s">
        <v>1458</v>
      </c>
      <c r="B1094" s="6" t="s">
        <v>1459</v>
      </c>
      <c r="C1094" s="2" t="s">
        <v>461</v>
      </c>
      <c r="D1094" s="4">
        <v>0.41664000000000001</v>
      </c>
      <c r="E1094" s="4">
        <v>0.25951999999999997</v>
      </c>
      <c r="F1094" s="4">
        <v>1.92E-3</v>
      </c>
    </row>
    <row r="1095" spans="1:6" x14ac:dyDescent="0.35">
      <c r="A1095" s="2" t="s">
        <v>1460</v>
      </c>
      <c r="B1095" s="6" t="s">
        <v>1461</v>
      </c>
      <c r="C1095" s="2" t="s">
        <v>461</v>
      </c>
      <c r="D1095" s="4">
        <v>0.42784</v>
      </c>
      <c r="E1095" s="4">
        <v>0.27039999999999997</v>
      </c>
      <c r="F1095" s="4">
        <v>2.2399999999999998E-3</v>
      </c>
    </row>
    <row r="1096" spans="1:6" x14ac:dyDescent="0.35">
      <c r="A1096" s="2" t="s">
        <v>1462</v>
      </c>
      <c r="B1096" s="6" t="s">
        <v>1463</v>
      </c>
      <c r="C1096" s="2" t="s">
        <v>461</v>
      </c>
      <c r="D1096" s="4">
        <v>0.51200000000000001</v>
      </c>
      <c r="E1096" s="4">
        <v>0.35360000000000003</v>
      </c>
      <c r="F1096" s="4">
        <v>2.8800000000000002E-3</v>
      </c>
    </row>
    <row r="1097" spans="1:6" x14ac:dyDescent="0.35">
      <c r="A1097" s="2" t="s">
        <v>1464</v>
      </c>
      <c r="B1097" s="6" t="s">
        <v>1465</v>
      </c>
      <c r="C1097" s="2" t="s">
        <v>461</v>
      </c>
      <c r="D1097" s="4">
        <v>0.53183999999999998</v>
      </c>
      <c r="E1097" s="4">
        <v>0.37312000000000001</v>
      </c>
      <c r="F1097" s="4">
        <v>2.8800000000000002E-3</v>
      </c>
    </row>
    <row r="1098" spans="1:6" x14ac:dyDescent="0.35">
      <c r="A1098" s="2" t="s">
        <v>1466</v>
      </c>
      <c r="B1098" s="6" t="s">
        <v>1467</v>
      </c>
      <c r="C1098" s="2" t="s">
        <v>461</v>
      </c>
      <c r="D1098" s="4">
        <v>0.35071999999999998</v>
      </c>
      <c r="E1098" s="4">
        <v>0.19167999999999999</v>
      </c>
      <c r="F1098" s="4">
        <v>1.92E-3</v>
      </c>
    </row>
    <row r="1099" spans="1:6" x14ac:dyDescent="0.35">
      <c r="A1099" s="2" t="s">
        <v>1468</v>
      </c>
      <c r="B1099" s="6" t="s">
        <v>1469</v>
      </c>
      <c r="C1099" s="2" t="s">
        <v>461</v>
      </c>
      <c r="D1099" s="4">
        <v>0.32928000000000002</v>
      </c>
      <c r="E1099" s="4">
        <v>0.17247999999999999</v>
      </c>
      <c r="F1099" s="4">
        <v>1.92E-3</v>
      </c>
    </row>
    <row r="1100" spans="1:6" x14ac:dyDescent="0.35">
      <c r="A1100" s="2" t="s">
        <v>1470</v>
      </c>
      <c r="B1100" s="6" t="s">
        <v>1471</v>
      </c>
      <c r="C1100" s="2" t="s">
        <v>461</v>
      </c>
      <c r="D1100" s="4">
        <v>0.41343999999999997</v>
      </c>
      <c r="E1100" s="4">
        <v>0.25472</v>
      </c>
      <c r="F1100" s="4">
        <v>2.8800000000000002E-3</v>
      </c>
    </row>
    <row r="1101" spans="1:6" x14ac:dyDescent="0.35">
      <c r="A1101" s="2" t="s">
        <v>1472</v>
      </c>
      <c r="B1101" s="6" t="s">
        <v>1473</v>
      </c>
      <c r="C1101" s="2" t="s">
        <v>461</v>
      </c>
      <c r="D1101" s="4">
        <v>0.33728000000000002</v>
      </c>
      <c r="E1101" s="4">
        <v>0.17088</v>
      </c>
      <c r="F1101" s="4">
        <v>1.92E-3</v>
      </c>
    </row>
    <row r="1102" spans="1:6" x14ac:dyDescent="0.35">
      <c r="A1102" s="2" t="s">
        <v>1474</v>
      </c>
      <c r="B1102" s="6" t="s">
        <v>1475</v>
      </c>
      <c r="C1102" s="2" t="s">
        <v>461</v>
      </c>
      <c r="D1102" s="4">
        <v>0.32672000000000001</v>
      </c>
      <c r="E1102" s="4">
        <v>0.17247999999999999</v>
      </c>
      <c r="F1102" s="4">
        <v>1.92E-3</v>
      </c>
    </row>
    <row r="1103" spans="1:6" x14ac:dyDescent="0.35">
      <c r="A1103" s="2" t="s">
        <v>1476</v>
      </c>
      <c r="B1103" s="6" t="s">
        <v>1467</v>
      </c>
      <c r="C1103" s="2" t="s">
        <v>461</v>
      </c>
      <c r="D1103" s="4">
        <v>0.35008</v>
      </c>
      <c r="E1103" s="4">
        <v>0.19103999999999999</v>
      </c>
      <c r="F1103" s="4">
        <v>1.92E-3</v>
      </c>
    </row>
    <row r="1104" spans="1:6" x14ac:dyDescent="0.35">
      <c r="A1104" s="2" t="s">
        <v>1477</v>
      </c>
      <c r="B1104" s="6" t="s">
        <v>1478</v>
      </c>
      <c r="C1104" s="2" t="s">
        <v>461</v>
      </c>
      <c r="D1104" s="4">
        <v>0.25951999999999997</v>
      </c>
      <c r="E1104" s="4">
        <v>0.15808</v>
      </c>
      <c r="F1104" s="4">
        <v>1.6000000000000001E-3</v>
      </c>
    </row>
    <row r="1105" spans="1:6" x14ac:dyDescent="0.35">
      <c r="A1105" s="2" t="s">
        <v>1479</v>
      </c>
      <c r="B1105" s="6" t="s">
        <v>1480</v>
      </c>
      <c r="C1105" s="2" t="s">
        <v>461</v>
      </c>
      <c r="D1105" s="4">
        <v>0.34239999999999998</v>
      </c>
      <c r="E1105" s="4">
        <v>0.17504</v>
      </c>
      <c r="F1105" s="4">
        <v>2.5600000000000002E-3</v>
      </c>
    </row>
    <row r="1106" spans="1:6" x14ac:dyDescent="0.35">
      <c r="A1106" s="2" t="s">
        <v>1481</v>
      </c>
      <c r="B1106" s="6" t="s">
        <v>1482</v>
      </c>
      <c r="C1106" s="2" t="s">
        <v>461</v>
      </c>
      <c r="D1106" s="4">
        <v>0.34815000000000002</v>
      </c>
      <c r="E1106" s="4">
        <v>0.17404</v>
      </c>
      <c r="F1106" s="4">
        <v>2.5600000000000002E-3</v>
      </c>
    </row>
    <row r="1107" spans="1:6" x14ac:dyDescent="0.35">
      <c r="A1107" s="2" t="s">
        <v>1483</v>
      </c>
      <c r="B1107" s="6" t="s">
        <v>1484</v>
      </c>
      <c r="C1107" s="2" t="s">
        <v>461</v>
      </c>
      <c r="D1107" s="4">
        <v>0.34239999999999998</v>
      </c>
      <c r="E1107" s="4">
        <v>0.17504</v>
      </c>
      <c r="F1107" s="4">
        <v>2.5600000000000002E-3</v>
      </c>
    </row>
    <row r="1108" spans="1:6" x14ac:dyDescent="0.35">
      <c r="A1108" s="2" t="s">
        <v>1485</v>
      </c>
      <c r="B1108" s="6" t="s">
        <v>1486</v>
      </c>
      <c r="C1108" s="2" t="s">
        <v>461</v>
      </c>
      <c r="D1108" s="4">
        <v>0.32351999999999997</v>
      </c>
      <c r="E1108" s="4">
        <v>0.13311999999999999</v>
      </c>
      <c r="F1108" s="4">
        <v>1.92E-3</v>
      </c>
    </row>
    <row r="1109" spans="1:6" x14ac:dyDescent="0.35">
      <c r="A1109" s="2" t="s">
        <v>1487</v>
      </c>
      <c r="B1109" s="6" t="s">
        <v>1488</v>
      </c>
      <c r="C1109" s="2" t="s">
        <v>461</v>
      </c>
      <c r="D1109" s="4">
        <v>0.4</v>
      </c>
      <c r="E1109" s="4">
        <v>0.16511999999999999</v>
      </c>
      <c r="F1109" s="4">
        <v>2.5600000000000002E-3</v>
      </c>
    </row>
    <row r="1110" spans="1:6" x14ac:dyDescent="0.35">
      <c r="A1110" s="2" t="s">
        <v>1489</v>
      </c>
      <c r="B1110" s="6" t="s">
        <v>1490</v>
      </c>
      <c r="C1110" s="2" t="s">
        <v>461</v>
      </c>
      <c r="D1110" s="4">
        <v>0.57376000000000005</v>
      </c>
      <c r="E1110" s="4">
        <v>0.46207999999999999</v>
      </c>
      <c r="F1110" s="4">
        <v>1.2800000000000001E-3</v>
      </c>
    </row>
    <row r="1111" spans="1:6" x14ac:dyDescent="0.35">
      <c r="A1111" s="2" t="s">
        <v>1491</v>
      </c>
      <c r="B1111" s="6" t="s">
        <v>1492</v>
      </c>
      <c r="C1111" s="2" t="s">
        <v>461</v>
      </c>
      <c r="D1111" s="4">
        <v>0.30336000000000002</v>
      </c>
      <c r="E1111" s="4">
        <v>0.14304</v>
      </c>
      <c r="F1111" s="4">
        <v>1.92E-3</v>
      </c>
    </row>
    <row r="1112" spans="1:6" x14ac:dyDescent="0.35">
      <c r="A1112" s="2" t="s">
        <v>1493</v>
      </c>
      <c r="B1112" s="6" t="s">
        <v>1494</v>
      </c>
      <c r="C1112" s="2" t="s">
        <v>461</v>
      </c>
      <c r="D1112" s="4">
        <v>0.30303999999999998</v>
      </c>
      <c r="E1112" s="4">
        <v>0.1424</v>
      </c>
      <c r="F1112" s="4">
        <v>1.6000000000000001E-3</v>
      </c>
    </row>
    <row r="1113" spans="1:6" x14ac:dyDescent="0.35">
      <c r="A1113" s="2" t="s">
        <v>1495</v>
      </c>
      <c r="B1113" s="6" t="s">
        <v>1488</v>
      </c>
      <c r="C1113" s="2" t="s">
        <v>461</v>
      </c>
      <c r="D1113" s="4">
        <v>0.4</v>
      </c>
      <c r="E1113" s="4">
        <v>0.16511999999999999</v>
      </c>
      <c r="F1113" s="4">
        <v>2.5600000000000002E-3</v>
      </c>
    </row>
    <row r="1114" spans="1:6" x14ac:dyDescent="0.35">
      <c r="A1114" s="2" t="s">
        <v>1496</v>
      </c>
      <c r="B1114" s="6" t="s">
        <v>1497</v>
      </c>
      <c r="C1114" s="2" t="s">
        <v>461</v>
      </c>
      <c r="D1114" s="4">
        <v>0.39232</v>
      </c>
      <c r="E1114" s="4">
        <v>0.15679999999999999</v>
      </c>
      <c r="F1114" s="4">
        <v>2.5600000000000002E-3</v>
      </c>
    </row>
    <row r="1115" spans="1:6" x14ac:dyDescent="0.35">
      <c r="A1115" s="2" t="s">
        <v>1498</v>
      </c>
      <c r="B1115" s="6" t="s">
        <v>1467</v>
      </c>
      <c r="C1115" s="2" t="s">
        <v>461</v>
      </c>
      <c r="D1115" s="4">
        <v>0.51424000000000003</v>
      </c>
      <c r="E1115" s="4">
        <v>0.37024000000000001</v>
      </c>
      <c r="F1115" s="4">
        <v>2.5600000000000002E-3</v>
      </c>
    </row>
    <row r="1116" spans="1:6" x14ac:dyDescent="0.35">
      <c r="A1116" s="2" t="s">
        <v>1499</v>
      </c>
      <c r="B1116" s="6" t="s">
        <v>1500</v>
      </c>
      <c r="C1116" s="2" t="s">
        <v>461</v>
      </c>
      <c r="D1116" s="4">
        <v>0.46367999999999998</v>
      </c>
      <c r="E1116" s="4">
        <v>0.33472000000000002</v>
      </c>
      <c r="F1116" s="4">
        <v>2.5600000000000002E-3</v>
      </c>
    </row>
    <row r="1117" spans="1:6" x14ac:dyDescent="0.35">
      <c r="A1117" s="2" t="s">
        <v>1501</v>
      </c>
      <c r="B1117" s="6" t="s">
        <v>1502</v>
      </c>
      <c r="C1117" s="2" t="s">
        <v>461</v>
      </c>
      <c r="D1117" s="4">
        <v>0.55520000000000003</v>
      </c>
      <c r="E1117" s="4">
        <v>0.38816000000000001</v>
      </c>
      <c r="F1117" s="4">
        <v>3.2000000000000002E-3</v>
      </c>
    </row>
    <row r="1118" spans="1:6" x14ac:dyDescent="0.35">
      <c r="A1118" s="2" t="s">
        <v>1503</v>
      </c>
      <c r="B1118" s="6" t="s">
        <v>1504</v>
      </c>
      <c r="C1118" s="2" t="s">
        <v>461</v>
      </c>
      <c r="D1118" s="4">
        <v>0.42655999999999999</v>
      </c>
      <c r="E1118" s="4">
        <v>0.18751999999999999</v>
      </c>
      <c r="F1118" s="4">
        <v>2.2399999999999998E-3</v>
      </c>
    </row>
    <row r="1119" spans="1:6" x14ac:dyDescent="0.35">
      <c r="A1119" s="2" t="s">
        <v>1505</v>
      </c>
      <c r="B1119" s="6" t="s">
        <v>1506</v>
      </c>
      <c r="C1119" s="2" t="s">
        <v>461</v>
      </c>
      <c r="D1119" s="4">
        <v>0.53824000000000005</v>
      </c>
      <c r="E1119" s="4">
        <v>0.36992000000000003</v>
      </c>
      <c r="F1119" s="4">
        <v>2.8800000000000002E-3</v>
      </c>
    </row>
    <row r="1120" spans="1:6" x14ac:dyDescent="0.35">
      <c r="A1120" s="2" t="s">
        <v>1507</v>
      </c>
      <c r="B1120" s="6" t="s">
        <v>1508</v>
      </c>
      <c r="C1120" s="2" t="s">
        <v>461</v>
      </c>
      <c r="D1120" s="4">
        <v>0.50080000000000002</v>
      </c>
      <c r="E1120" s="4">
        <v>0.23776</v>
      </c>
      <c r="F1120" s="4">
        <v>3.8400000000000001E-3</v>
      </c>
    </row>
    <row r="1121" spans="1:6" x14ac:dyDescent="0.35">
      <c r="A1121" s="2" t="s">
        <v>1509</v>
      </c>
      <c r="B1121" s="6" t="s">
        <v>1467</v>
      </c>
      <c r="C1121" s="2" t="s">
        <v>461</v>
      </c>
      <c r="D1121" s="4">
        <v>0.54496</v>
      </c>
      <c r="E1121" s="4">
        <v>0.39040000000000002</v>
      </c>
      <c r="F1121" s="4">
        <v>3.2000000000000002E-3</v>
      </c>
    </row>
    <row r="1122" spans="1:6" x14ac:dyDescent="0.35">
      <c r="A1122" s="2" t="s">
        <v>1510</v>
      </c>
      <c r="B1122" s="6" t="s">
        <v>1467</v>
      </c>
      <c r="C1122" s="2" t="s">
        <v>461</v>
      </c>
      <c r="D1122" s="4">
        <v>0.52032</v>
      </c>
      <c r="E1122" s="4">
        <v>0.24224000000000001</v>
      </c>
      <c r="F1122" s="4">
        <v>3.8400000000000001E-3</v>
      </c>
    </row>
    <row r="1123" spans="1:6" x14ac:dyDescent="0.35">
      <c r="A1123" s="2" t="s">
        <v>1511</v>
      </c>
      <c r="B1123" s="6" t="e">
        <v>#N/A</v>
      </c>
      <c r="C1123" s="2" t="e">
        <v>#N/A</v>
      </c>
      <c r="D1123" s="4">
        <v>0.56767999999999996</v>
      </c>
      <c r="E1123" s="4">
        <v>0.39423999999999998</v>
      </c>
      <c r="F1123" s="4">
        <v>3.2000000000000002E-3</v>
      </c>
    </row>
    <row r="1124" spans="1:6" x14ac:dyDescent="0.35">
      <c r="A1124" s="2" t="s">
        <v>1512</v>
      </c>
      <c r="B1124" s="6" t="e">
        <v>#N/A</v>
      </c>
      <c r="C1124" s="2" t="e">
        <v>#N/A</v>
      </c>
      <c r="D1124" s="4">
        <v>0.55679999999999996</v>
      </c>
      <c r="E1124" s="4">
        <v>0.38368000000000002</v>
      </c>
      <c r="F1124" s="4">
        <v>3.2000000000000002E-3</v>
      </c>
    </row>
    <row r="1125" spans="1:6" x14ac:dyDescent="0.35">
      <c r="A1125" s="2" t="s">
        <v>1513</v>
      </c>
      <c r="B1125" s="6" t="s">
        <v>1484</v>
      </c>
      <c r="C1125" s="2" t="s">
        <v>461</v>
      </c>
      <c r="D1125" s="4">
        <v>0.50944</v>
      </c>
      <c r="E1125" s="4">
        <v>0.36143999999999998</v>
      </c>
      <c r="F1125" s="4">
        <v>2.8800000000000002E-3</v>
      </c>
    </row>
    <row r="1126" spans="1:6" x14ac:dyDescent="0.35">
      <c r="A1126" s="2" t="s">
        <v>1514</v>
      </c>
      <c r="B1126" s="6" t="s">
        <v>1467</v>
      </c>
      <c r="C1126" s="2" t="s">
        <v>461</v>
      </c>
      <c r="D1126" s="4">
        <v>0.54496</v>
      </c>
      <c r="E1126" s="4">
        <v>0.38976</v>
      </c>
      <c r="F1126" s="4">
        <v>3.2000000000000002E-3</v>
      </c>
    </row>
    <row r="1127" spans="1:6" x14ac:dyDescent="0.35">
      <c r="A1127" s="2" t="s">
        <v>1515</v>
      </c>
      <c r="B1127" s="6" t="s">
        <v>1516</v>
      </c>
      <c r="C1127" s="2" t="s">
        <v>461</v>
      </c>
      <c r="D1127" s="4">
        <v>0.69055999999999995</v>
      </c>
      <c r="E1127" s="4">
        <v>0.54496</v>
      </c>
      <c r="F1127" s="4">
        <v>6.0800000000000003E-3</v>
      </c>
    </row>
    <row r="1128" spans="1:6" x14ac:dyDescent="0.35">
      <c r="A1128" s="2" t="s">
        <v>1517</v>
      </c>
      <c r="B1128" s="6" t="s">
        <v>1518</v>
      </c>
      <c r="C1128" s="2" t="s">
        <v>461</v>
      </c>
      <c r="D1128" s="4">
        <v>0.53439999999999999</v>
      </c>
      <c r="E1128" s="4">
        <v>0.34527999999999998</v>
      </c>
      <c r="F1128" s="4">
        <v>6.0800000000000003E-3</v>
      </c>
    </row>
    <row r="1129" spans="1:6" x14ac:dyDescent="0.35">
      <c r="A1129" s="2" t="s">
        <v>1519</v>
      </c>
      <c r="B1129" s="6" t="s">
        <v>1520</v>
      </c>
      <c r="C1129" s="2" t="s">
        <v>461</v>
      </c>
      <c r="D1129" s="4">
        <v>0.92032000000000003</v>
      </c>
      <c r="E1129" s="4">
        <v>0.73792000000000002</v>
      </c>
      <c r="F1129" s="4">
        <v>6.7200000000000003E-3</v>
      </c>
    </row>
    <row r="1130" spans="1:6" x14ac:dyDescent="0.35">
      <c r="A1130" s="2" t="s">
        <v>1521</v>
      </c>
      <c r="B1130" s="6" t="s">
        <v>1522</v>
      </c>
      <c r="C1130" s="2" t="s">
        <v>461</v>
      </c>
      <c r="D1130" s="4">
        <v>0.55135999999999996</v>
      </c>
      <c r="E1130" s="4">
        <v>0.32256000000000001</v>
      </c>
      <c r="F1130" s="4">
        <v>3.5200000000000001E-3</v>
      </c>
    </row>
    <row r="1131" spans="1:6" x14ac:dyDescent="0.35">
      <c r="A1131" s="2" t="s">
        <v>1523</v>
      </c>
      <c r="B1131" s="6" t="s">
        <v>1524</v>
      </c>
      <c r="C1131" s="2" t="s">
        <v>461</v>
      </c>
      <c r="D1131" s="4">
        <v>0.55008000000000001</v>
      </c>
      <c r="E1131" s="4">
        <v>0.32096000000000002</v>
      </c>
      <c r="F1131" s="4">
        <v>3.5200000000000001E-3</v>
      </c>
    </row>
    <row r="1132" spans="1:6" x14ac:dyDescent="0.35">
      <c r="A1132" s="2" t="s">
        <v>1525</v>
      </c>
      <c r="B1132" s="6" t="s">
        <v>1526</v>
      </c>
      <c r="C1132" s="2" t="s">
        <v>461</v>
      </c>
      <c r="D1132" s="4">
        <v>0.54400000000000004</v>
      </c>
      <c r="E1132" s="4">
        <v>0.31840000000000002</v>
      </c>
      <c r="F1132" s="4">
        <v>3.5200000000000001E-3</v>
      </c>
    </row>
    <row r="1133" spans="1:6" x14ac:dyDescent="0.35">
      <c r="A1133" s="2" t="s">
        <v>1527</v>
      </c>
      <c r="B1133" s="6" t="s">
        <v>1528</v>
      </c>
      <c r="C1133" s="2" t="s">
        <v>461</v>
      </c>
      <c r="D1133" s="4">
        <v>0.69952000000000003</v>
      </c>
      <c r="E1133" s="4">
        <v>0.36671999999999999</v>
      </c>
      <c r="F1133" s="4">
        <v>6.0800000000000003E-3</v>
      </c>
    </row>
    <row r="1134" spans="1:6" x14ac:dyDescent="0.35">
      <c r="A1134" s="2" t="s">
        <v>1529</v>
      </c>
      <c r="B1134" s="6" t="s">
        <v>1530</v>
      </c>
      <c r="C1134" s="2" t="s">
        <v>461</v>
      </c>
      <c r="D1134" s="4">
        <v>0.68640000000000001</v>
      </c>
      <c r="E1134" s="4">
        <v>0.35071999999999998</v>
      </c>
      <c r="F1134" s="4">
        <v>5.7600000000000004E-3</v>
      </c>
    </row>
    <row r="1135" spans="1:6" x14ac:dyDescent="0.35">
      <c r="A1135" s="2" t="s">
        <v>1531</v>
      </c>
      <c r="B1135" s="6" t="s">
        <v>1467</v>
      </c>
      <c r="C1135" s="2" t="s">
        <v>461</v>
      </c>
      <c r="D1135" s="4">
        <v>0.77888000000000002</v>
      </c>
      <c r="E1135" s="4">
        <v>0.43552000000000002</v>
      </c>
      <c r="F1135" s="4">
        <v>6.7200000000000003E-3</v>
      </c>
    </row>
    <row r="1136" spans="1:6" x14ac:dyDescent="0.35">
      <c r="A1136" s="2" t="s">
        <v>1532</v>
      </c>
      <c r="B1136" s="6" t="s">
        <v>1467</v>
      </c>
      <c r="C1136" s="2" t="s">
        <v>461</v>
      </c>
      <c r="D1136" s="4">
        <v>0.87583999999999995</v>
      </c>
      <c r="E1136" s="4">
        <v>0.67456000000000005</v>
      </c>
      <c r="F1136" s="4">
        <v>9.2800000000000001E-3</v>
      </c>
    </row>
    <row r="1137" spans="1:6" x14ac:dyDescent="0.35">
      <c r="A1137" s="2" t="s">
        <v>1533</v>
      </c>
      <c r="B1137" s="6" t="e">
        <v>#N/A</v>
      </c>
      <c r="C1137" s="2" t="e">
        <v>#N/A</v>
      </c>
      <c r="D1137" s="4">
        <v>1.0591999999999999</v>
      </c>
      <c r="E1137" s="4">
        <v>0.84704000000000002</v>
      </c>
      <c r="F1137" s="4">
        <v>9.2800000000000001E-3</v>
      </c>
    </row>
    <row r="1138" spans="1:6" x14ac:dyDescent="0.35">
      <c r="A1138" s="2" t="s">
        <v>1534</v>
      </c>
      <c r="B1138" s="6" t="s">
        <v>1535</v>
      </c>
      <c r="C1138" s="2" t="s">
        <v>461</v>
      </c>
      <c r="D1138" s="4">
        <v>1.01248</v>
      </c>
      <c r="E1138" s="4">
        <v>0.80511999999999995</v>
      </c>
      <c r="F1138" s="4">
        <v>8.9599999999999992E-3</v>
      </c>
    </row>
    <row r="1139" spans="1:6" x14ac:dyDescent="0.35">
      <c r="A1139" s="2" t="s">
        <v>1536</v>
      </c>
      <c r="B1139" s="6" t="s">
        <v>1537</v>
      </c>
      <c r="C1139" s="2" t="s">
        <v>461</v>
      </c>
      <c r="D1139" s="4">
        <v>0.78688000000000002</v>
      </c>
      <c r="E1139" s="4">
        <v>0.57952000000000004</v>
      </c>
      <c r="F1139" s="4">
        <v>7.0400000000000003E-3</v>
      </c>
    </row>
    <row r="1140" spans="1:6" x14ac:dyDescent="0.35">
      <c r="A1140" s="2" t="s">
        <v>1538</v>
      </c>
      <c r="B1140" s="6" t="s">
        <v>1539</v>
      </c>
      <c r="C1140" s="2" t="s">
        <v>461</v>
      </c>
      <c r="D1140" s="4">
        <v>0.98336000000000001</v>
      </c>
      <c r="E1140" s="4">
        <v>0.78432000000000002</v>
      </c>
      <c r="F1140" s="4">
        <v>8.6400000000000001E-3</v>
      </c>
    </row>
    <row r="1141" spans="1:6" x14ac:dyDescent="0.35">
      <c r="A1141" s="2" t="s">
        <v>1540</v>
      </c>
      <c r="B1141" s="6" t="s">
        <v>1541</v>
      </c>
      <c r="C1141" s="2" t="s">
        <v>461</v>
      </c>
      <c r="D1141" s="4">
        <v>1.0041599999999999</v>
      </c>
      <c r="E1141" s="4">
        <v>0.80191999999999997</v>
      </c>
      <c r="F1141" s="4">
        <v>8.0000000000000002E-3</v>
      </c>
    </row>
    <row r="1142" spans="1:6" x14ac:dyDescent="0.35">
      <c r="A1142" s="2" t="s">
        <v>1542</v>
      </c>
      <c r="B1142" s="6" t="s">
        <v>1543</v>
      </c>
      <c r="C1142" s="2" t="s">
        <v>461</v>
      </c>
      <c r="D1142" s="4">
        <v>0.93023999999999996</v>
      </c>
      <c r="E1142" s="4">
        <v>0.59775999999999996</v>
      </c>
      <c r="F1142" s="4">
        <v>9.5999999999999992E-3</v>
      </c>
    </row>
    <row r="1143" spans="1:6" x14ac:dyDescent="0.35">
      <c r="A1143" s="2" t="s">
        <v>1544</v>
      </c>
      <c r="B1143" s="6" t="s">
        <v>1545</v>
      </c>
      <c r="C1143" s="2" t="s">
        <v>461</v>
      </c>
      <c r="D1143" s="4">
        <v>0.86080000000000001</v>
      </c>
      <c r="E1143" s="4">
        <v>0.69184000000000001</v>
      </c>
      <c r="F1143" s="4">
        <v>7.3600000000000002E-3</v>
      </c>
    </row>
    <row r="1144" spans="1:6" x14ac:dyDescent="0.35">
      <c r="A1144" s="2" t="s">
        <v>1546</v>
      </c>
      <c r="B1144" s="6" t="s">
        <v>1467</v>
      </c>
      <c r="C1144" s="2" t="s">
        <v>461</v>
      </c>
      <c r="D1144" s="4">
        <v>0.92479999999999996</v>
      </c>
      <c r="E1144" s="4">
        <v>0.59423999999999999</v>
      </c>
      <c r="F1144" s="4">
        <v>9.5999999999999992E-3</v>
      </c>
    </row>
    <row r="1145" spans="1:6" x14ac:dyDescent="0.35">
      <c r="A1145" s="2" t="s">
        <v>1547</v>
      </c>
      <c r="B1145" s="6" t="s">
        <v>1548</v>
      </c>
      <c r="C1145" s="2" t="s">
        <v>461</v>
      </c>
      <c r="D1145" s="4">
        <v>0.91071999999999997</v>
      </c>
      <c r="E1145" s="4">
        <v>0.73663999999999996</v>
      </c>
      <c r="F1145" s="4">
        <v>6.0800000000000003E-3</v>
      </c>
    </row>
    <row r="1146" spans="1:6" x14ac:dyDescent="0.35">
      <c r="A1146" s="2" t="s">
        <v>1549</v>
      </c>
      <c r="B1146" s="6" t="s">
        <v>1550</v>
      </c>
      <c r="C1146" s="2" t="s">
        <v>461</v>
      </c>
      <c r="D1146" s="4">
        <v>0.85631999999999997</v>
      </c>
      <c r="E1146" s="4">
        <v>0.69376000000000004</v>
      </c>
      <c r="F1146" s="4">
        <v>5.4400000000000004E-3</v>
      </c>
    </row>
    <row r="1147" spans="1:6" x14ac:dyDescent="0.35">
      <c r="A1147" s="2" t="s">
        <v>1551</v>
      </c>
      <c r="B1147" s="6" t="s">
        <v>1552</v>
      </c>
      <c r="C1147" s="2" t="s">
        <v>461</v>
      </c>
      <c r="D1147" s="4">
        <v>0.84448000000000001</v>
      </c>
      <c r="E1147" s="4">
        <v>0.68608000000000002</v>
      </c>
      <c r="F1147" s="4">
        <v>5.4400000000000004E-3</v>
      </c>
    </row>
    <row r="1148" spans="1:6" x14ac:dyDescent="0.35">
      <c r="A1148" s="2" t="s">
        <v>1553</v>
      </c>
      <c r="B1148" s="6" t="s">
        <v>1554</v>
      </c>
      <c r="C1148" s="2" t="s">
        <v>461</v>
      </c>
      <c r="D1148" s="4">
        <v>0.79327999999999999</v>
      </c>
      <c r="E1148" s="4">
        <v>0.64800000000000002</v>
      </c>
      <c r="F1148" s="4">
        <v>4.7999999999999996E-3</v>
      </c>
    </row>
    <row r="1149" spans="1:6" x14ac:dyDescent="0.35">
      <c r="A1149" s="2" t="s">
        <v>1555</v>
      </c>
      <c r="B1149" s="6" t="s">
        <v>1556</v>
      </c>
      <c r="C1149" s="2" t="s">
        <v>461</v>
      </c>
      <c r="D1149" s="4">
        <v>0.88351999999999997</v>
      </c>
      <c r="E1149" s="4">
        <v>0.68191999999999997</v>
      </c>
      <c r="F1149" s="4">
        <v>1.5679999999999999E-2</v>
      </c>
    </row>
    <row r="1150" spans="1:6" x14ac:dyDescent="0.35">
      <c r="A1150" s="2" t="s">
        <v>1557</v>
      </c>
      <c r="B1150" s="6" t="s">
        <v>1558</v>
      </c>
      <c r="C1150" s="2" t="s">
        <v>461</v>
      </c>
      <c r="D1150" s="4">
        <v>0.84448000000000001</v>
      </c>
      <c r="E1150" s="4">
        <v>0.68608000000000002</v>
      </c>
      <c r="F1150" s="4">
        <v>5.4400000000000004E-3</v>
      </c>
    </row>
    <row r="1151" spans="1:6" x14ac:dyDescent="0.35">
      <c r="A1151" s="2" t="s">
        <v>1559</v>
      </c>
      <c r="B1151" s="6" t="s">
        <v>1560</v>
      </c>
      <c r="C1151" s="2" t="s">
        <v>461</v>
      </c>
      <c r="D1151" s="4">
        <v>0.84384000000000003</v>
      </c>
      <c r="E1151" s="4">
        <v>0.68032000000000004</v>
      </c>
      <c r="F1151" s="4">
        <v>5.4400000000000004E-3</v>
      </c>
    </row>
    <row r="1152" spans="1:6" x14ac:dyDescent="0.35">
      <c r="A1152" s="2" t="s">
        <v>1561</v>
      </c>
      <c r="B1152" s="6" t="s">
        <v>1562</v>
      </c>
      <c r="C1152" s="2" t="s">
        <v>461</v>
      </c>
      <c r="D1152" s="4">
        <v>0.88160000000000005</v>
      </c>
      <c r="E1152" s="4">
        <v>0.70911999999999997</v>
      </c>
      <c r="F1152" s="4">
        <v>5.7600000000000004E-3</v>
      </c>
    </row>
    <row r="1153" spans="1:6" x14ac:dyDescent="0.35">
      <c r="A1153" s="2" t="s">
        <v>1563</v>
      </c>
      <c r="B1153" s="6" t="s">
        <v>1564</v>
      </c>
      <c r="C1153" s="2" t="s">
        <v>461</v>
      </c>
      <c r="D1153" s="4">
        <v>0.87104000000000004</v>
      </c>
      <c r="E1153" s="4">
        <v>0.69984000000000002</v>
      </c>
      <c r="F1153" s="4">
        <v>5.7600000000000004E-3</v>
      </c>
    </row>
    <row r="1154" spans="1:6" x14ac:dyDescent="0.35">
      <c r="A1154" s="2" t="s">
        <v>1565</v>
      </c>
      <c r="B1154" s="6" t="s">
        <v>1566</v>
      </c>
      <c r="C1154" s="2" t="s">
        <v>461</v>
      </c>
      <c r="D1154" s="4">
        <v>0.83104</v>
      </c>
      <c r="E1154" s="4">
        <v>0.66879999999999995</v>
      </c>
      <c r="F1154" s="4">
        <v>5.1200000000000004E-3</v>
      </c>
    </row>
    <row r="1155" spans="1:6" x14ac:dyDescent="0.35">
      <c r="A1155" s="2" t="s">
        <v>1567</v>
      </c>
      <c r="B1155" s="6" t="s">
        <v>1568</v>
      </c>
      <c r="C1155" s="2" t="s">
        <v>461</v>
      </c>
      <c r="D1155" s="4">
        <v>0.8528</v>
      </c>
      <c r="E1155" s="4">
        <v>0.68</v>
      </c>
      <c r="F1155" s="4">
        <v>5.7600000000000004E-3</v>
      </c>
    </row>
    <row r="1156" spans="1:6" x14ac:dyDescent="0.35">
      <c r="A1156" s="2" t="s">
        <v>1569</v>
      </c>
      <c r="B1156" s="6" t="s">
        <v>1570</v>
      </c>
      <c r="C1156" s="2" t="s">
        <v>461</v>
      </c>
      <c r="D1156" s="4">
        <v>0.81215999999999999</v>
      </c>
      <c r="E1156" s="4">
        <v>0.64863999999999999</v>
      </c>
      <c r="F1156" s="4">
        <v>5.1200000000000004E-3</v>
      </c>
    </row>
    <row r="1157" spans="1:6" x14ac:dyDescent="0.35">
      <c r="A1157" s="2" t="s">
        <v>1571</v>
      </c>
      <c r="B1157" s="6" t="s">
        <v>1467</v>
      </c>
      <c r="C1157" s="2" t="s">
        <v>461</v>
      </c>
      <c r="D1157" s="4">
        <v>0.88063999999999998</v>
      </c>
      <c r="E1157" s="4">
        <v>0.70720000000000005</v>
      </c>
      <c r="F1157" s="4">
        <v>5.7600000000000004E-3</v>
      </c>
    </row>
    <row r="1158" spans="1:6" x14ac:dyDescent="0.35">
      <c r="A1158" s="2" t="s">
        <v>1572</v>
      </c>
      <c r="B1158" s="6" t="s">
        <v>1467</v>
      </c>
      <c r="C1158" s="2" t="s">
        <v>461</v>
      </c>
      <c r="D1158" s="4">
        <v>0.87968000000000002</v>
      </c>
      <c r="E1158" s="4">
        <v>0.70655999999999997</v>
      </c>
      <c r="F1158" s="4">
        <v>5.4400000000000004E-3</v>
      </c>
    </row>
    <row r="1159" spans="1:6" x14ac:dyDescent="0.35">
      <c r="A1159" s="2" t="s">
        <v>1573</v>
      </c>
      <c r="B1159" s="6" t="s">
        <v>1467</v>
      </c>
      <c r="C1159" s="2" t="s">
        <v>461</v>
      </c>
      <c r="D1159" s="4">
        <v>0.83935999999999999</v>
      </c>
      <c r="E1159" s="4">
        <v>0.67520000000000002</v>
      </c>
      <c r="F1159" s="4">
        <v>5.1200000000000004E-3</v>
      </c>
    </row>
    <row r="1160" spans="1:6" x14ac:dyDescent="0.35">
      <c r="A1160" s="2" t="s">
        <v>1574</v>
      </c>
      <c r="B1160" s="6" t="s">
        <v>1467</v>
      </c>
      <c r="C1160" s="2" t="s">
        <v>461</v>
      </c>
      <c r="D1160" s="4">
        <v>0.83904000000000001</v>
      </c>
      <c r="E1160" s="4">
        <v>0.67488000000000004</v>
      </c>
      <c r="F1160" s="4">
        <v>5.1200000000000004E-3</v>
      </c>
    </row>
    <row r="1161" spans="1:6" x14ac:dyDescent="0.35">
      <c r="A1161" s="2" t="s">
        <v>1575</v>
      </c>
      <c r="B1161" s="6" t="e">
        <v>#N/A</v>
      </c>
      <c r="C1161" s="2" t="e">
        <v>#N/A</v>
      </c>
      <c r="D1161" s="4">
        <v>1.00864</v>
      </c>
      <c r="E1161" s="4">
        <v>0.81088000000000005</v>
      </c>
      <c r="F1161" s="4">
        <v>7.0400000000000003E-3</v>
      </c>
    </row>
    <row r="1162" spans="1:6" x14ac:dyDescent="0.35">
      <c r="A1162" s="2" t="s">
        <v>1576</v>
      </c>
      <c r="B1162" s="6" t="e">
        <v>#N/A</v>
      </c>
      <c r="C1162" s="2" t="e">
        <v>#N/A</v>
      </c>
      <c r="D1162" s="4">
        <v>1.0047999999999999</v>
      </c>
      <c r="E1162" s="4">
        <v>0.80703999999999998</v>
      </c>
      <c r="F1162" s="4">
        <v>7.0400000000000003E-3</v>
      </c>
    </row>
    <row r="1163" spans="1:6" x14ac:dyDescent="0.35">
      <c r="A1163" s="2" t="s">
        <v>1577</v>
      </c>
      <c r="B1163" s="6" t="e">
        <v>#N/A</v>
      </c>
      <c r="C1163" s="2" t="e">
        <v>#N/A</v>
      </c>
      <c r="D1163" s="4">
        <v>0.90400000000000003</v>
      </c>
      <c r="E1163" s="4">
        <v>0.73792000000000002</v>
      </c>
      <c r="F1163" s="4">
        <v>6.4000000000000003E-3</v>
      </c>
    </row>
    <row r="1164" spans="1:6" x14ac:dyDescent="0.35">
      <c r="A1164" s="2" t="s">
        <v>1578</v>
      </c>
      <c r="B1164" s="6" t="e">
        <v>#N/A</v>
      </c>
      <c r="C1164" s="2" t="e">
        <v>#N/A</v>
      </c>
      <c r="D1164" s="4">
        <v>0.85984000000000005</v>
      </c>
      <c r="E1164" s="4">
        <v>0.70272000000000001</v>
      </c>
      <c r="F1164" s="4">
        <v>5.7600000000000004E-3</v>
      </c>
    </row>
    <row r="1165" spans="1:6" x14ac:dyDescent="0.35">
      <c r="A1165" s="2" t="s">
        <v>1579</v>
      </c>
      <c r="B1165" s="6" t="s">
        <v>1484</v>
      </c>
      <c r="C1165" s="2" t="s">
        <v>461</v>
      </c>
      <c r="D1165" s="4">
        <v>0.87104999999999999</v>
      </c>
      <c r="E1165" s="4">
        <v>0.69984999999999997</v>
      </c>
      <c r="F1165" s="4">
        <v>5.7600000000000004E-3</v>
      </c>
    </row>
    <row r="1166" spans="1:6" x14ac:dyDescent="0.35">
      <c r="A1166" s="2" t="s">
        <v>1580</v>
      </c>
      <c r="B1166" s="6" t="s">
        <v>1484</v>
      </c>
      <c r="C1166" s="2" t="s">
        <v>461</v>
      </c>
      <c r="D1166" s="4">
        <v>1.0230399999999999</v>
      </c>
      <c r="E1166" s="4">
        <v>0.82623999999999997</v>
      </c>
      <c r="F1166" s="4">
        <v>7.3600000000000002E-3</v>
      </c>
    </row>
    <row r="1167" spans="1:6" x14ac:dyDescent="0.35">
      <c r="A1167" s="2" t="s">
        <v>1581</v>
      </c>
      <c r="B1167" s="6" t="s">
        <v>1467</v>
      </c>
      <c r="C1167" s="2" t="s">
        <v>461</v>
      </c>
      <c r="D1167" s="4">
        <v>0.95328000000000002</v>
      </c>
      <c r="E1167" s="4">
        <v>0.69535999999999998</v>
      </c>
      <c r="F1167" s="4">
        <v>5.4400000000000004E-3</v>
      </c>
    </row>
    <row r="1168" spans="1:6" x14ac:dyDescent="0.35">
      <c r="A1168" s="2" t="s">
        <v>1582</v>
      </c>
      <c r="B1168" s="6" t="s">
        <v>1467</v>
      </c>
      <c r="C1168" s="2" t="s">
        <v>461</v>
      </c>
      <c r="D1168" s="4">
        <v>1.05888</v>
      </c>
      <c r="E1168" s="4">
        <v>0.77056000000000002</v>
      </c>
      <c r="F1168" s="4">
        <v>6.4000000000000003E-3</v>
      </c>
    </row>
    <row r="1169" spans="1:6" x14ac:dyDescent="0.35">
      <c r="A1169" s="2" t="s">
        <v>1583</v>
      </c>
      <c r="B1169" s="6" t="s">
        <v>1584</v>
      </c>
      <c r="C1169" s="2" t="s">
        <v>461</v>
      </c>
      <c r="D1169" s="4">
        <v>6.9120000000000001E-2</v>
      </c>
      <c r="E1169" s="4">
        <v>-3.2000000000000002E-3</v>
      </c>
      <c r="F1169" s="4">
        <v>0</v>
      </c>
    </row>
    <row r="1170" spans="1:6" x14ac:dyDescent="0.35">
      <c r="A1170" s="2" t="s">
        <v>1585</v>
      </c>
      <c r="B1170" s="6" t="s">
        <v>1586</v>
      </c>
      <c r="C1170" s="2" t="s">
        <v>461</v>
      </c>
      <c r="D1170" s="4">
        <v>0.52224000000000004</v>
      </c>
      <c r="E1170" s="4">
        <v>0.33184000000000002</v>
      </c>
      <c r="F1170" s="4">
        <v>2.8800000000000002E-3</v>
      </c>
    </row>
    <row r="1171" spans="1:6" x14ac:dyDescent="0.35">
      <c r="A1171" s="2" t="s">
        <v>1587</v>
      </c>
      <c r="B1171" s="6" t="s">
        <v>1588</v>
      </c>
      <c r="C1171" s="2" t="s">
        <v>461</v>
      </c>
      <c r="D1171" s="4">
        <v>0.49056</v>
      </c>
      <c r="E1171" s="4">
        <v>0.33472000000000002</v>
      </c>
      <c r="F1171" s="4">
        <v>4.1599999999999996E-3</v>
      </c>
    </row>
    <row r="1172" spans="1:6" x14ac:dyDescent="0.35">
      <c r="A1172" s="2" t="s">
        <v>1589</v>
      </c>
      <c r="B1172" s="6" t="e">
        <v>#N/A</v>
      </c>
      <c r="C1172" s="2" t="e">
        <v>#N/A</v>
      </c>
      <c r="D1172" s="4">
        <v>0.97055999999999998</v>
      </c>
      <c r="E1172" s="4">
        <v>0.79423999999999995</v>
      </c>
      <c r="F1172" s="4">
        <v>7.0400000000000003E-3</v>
      </c>
    </row>
    <row r="1173" spans="1:6" x14ac:dyDescent="0.35">
      <c r="A1173" s="2" t="s">
        <v>1590</v>
      </c>
      <c r="B1173" s="6" t="s">
        <v>1591</v>
      </c>
      <c r="C1173" s="2" t="s">
        <v>461</v>
      </c>
      <c r="D1173" s="4">
        <v>0.92735999999999996</v>
      </c>
      <c r="E1173" s="4">
        <v>0.76192000000000004</v>
      </c>
      <c r="F1173" s="4">
        <v>6.7200000000000003E-3</v>
      </c>
    </row>
    <row r="1174" spans="1:6" x14ac:dyDescent="0.35">
      <c r="A1174" s="2" t="s">
        <v>1592</v>
      </c>
      <c r="B1174" s="6" t="s">
        <v>1593</v>
      </c>
      <c r="C1174" s="2" t="s">
        <v>461</v>
      </c>
      <c r="D1174" s="4">
        <v>0.81823999999999997</v>
      </c>
      <c r="E1174" s="4">
        <v>0.48224</v>
      </c>
      <c r="F1174" s="4">
        <v>7.6800000000000002E-3</v>
      </c>
    </row>
    <row r="1175" spans="1:6" x14ac:dyDescent="0.35">
      <c r="A1175" s="2" t="s">
        <v>1594</v>
      </c>
      <c r="B1175" s="6" t="e">
        <v>#N/A</v>
      </c>
      <c r="C1175" s="2" t="e">
        <v>#N/A</v>
      </c>
      <c r="D1175" s="4">
        <v>0.93123999999999996</v>
      </c>
      <c r="E1175" s="4">
        <v>0.79634000000000005</v>
      </c>
      <c r="F1175" s="4">
        <v>2.9199999999999999E-3</v>
      </c>
    </row>
    <row r="1176" spans="1:6" x14ac:dyDescent="0.35">
      <c r="A1176" s="2" t="s">
        <v>1595</v>
      </c>
      <c r="B1176" s="6" t="s">
        <v>1596</v>
      </c>
      <c r="C1176" s="2" t="s">
        <v>461</v>
      </c>
      <c r="D1176" s="4">
        <v>1.1097600000000001</v>
      </c>
      <c r="E1176" s="4">
        <v>0.93535999999999997</v>
      </c>
      <c r="F1176" s="4">
        <v>6.4000000000000003E-3</v>
      </c>
    </row>
    <row r="1177" spans="1:6" x14ac:dyDescent="0.35">
      <c r="A1177" s="2" t="s">
        <v>1597</v>
      </c>
      <c r="B1177" s="6" t="s">
        <v>1598</v>
      </c>
      <c r="C1177" s="2" t="s">
        <v>461</v>
      </c>
      <c r="D1177" s="4">
        <v>0.91712000000000005</v>
      </c>
      <c r="E1177" s="4">
        <v>0.71423999999999999</v>
      </c>
      <c r="F1177" s="4">
        <v>1.6320000000000001E-2</v>
      </c>
    </row>
    <row r="1178" spans="1:6" x14ac:dyDescent="0.35">
      <c r="A1178" s="2" t="s">
        <v>1599</v>
      </c>
      <c r="B1178" s="6" t="s">
        <v>1600</v>
      </c>
      <c r="C1178" s="2" t="s">
        <v>461</v>
      </c>
      <c r="D1178" s="4">
        <v>1.27904</v>
      </c>
      <c r="E1178" s="4">
        <v>1.0857600000000001</v>
      </c>
      <c r="F1178" s="4">
        <v>7.6800000000000002E-3</v>
      </c>
    </row>
    <row r="1179" spans="1:6" x14ac:dyDescent="0.35">
      <c r="A1179" s="2" t="s">
        <v>1601</v>
      </c>
      <c r="B1179" s="6" t="s">
        <v>1602</v>
      </c>
      <c r="C1179" s="2" t="s">
        <v>461</v>
      </c>
      <c r="D1179" s="4">
        <v>1.26912</v>
      </c>
      <c r="E1179" s="4">
        <v>1.0780799999999999</v>
      </c>
      <c r="F1179" s="4">
        <v>7.6800000000000002E-3</v>
      </c>
    </row>
    <row r="1180" spans="1:6" x14ac:dyDescent="0.35">
      <c r="A1180" s="2" t="s">
        <v>1603</v>
      </c>
      <c r="B1180" s="6" t="s">
        <v>1604</v>
      </c>
      <c r="C1180" s="2" t="s">
        <v>461</v>
      </c>
      <c r="D1180" s="4">
        <v>0.95072000000000001</v>
      </c>
      <c r="E1180" s="4">
        <v>0.77824000000000004</v>
      </c>
      <c r="F1180" s="4">
        <v>6.7200000000000003E-3</v>
      </c>
    </row>
    <row r="1181" spans="1:6" x14ac:dyDescent="0.35">
      <c r="A1181" s="2" t="s">
        <v>1605</v>
      </c>
      <c r="B1181" s="6" t="s">
        <v>1606</v>
      </c>
      <c r="C1181" s="2" t="s">
        <v>461</v>
      </c>
      <c r="D1181" s="4">
        <v>0.92927999999999999</v>
      </c>
      <c r="E1181" s="4">
        <v>0.75392000000000003</v>
      </c>
      <c r="F1181" s="4">
        <v>6.4000000000000003E-3</v>
      </c>
    </row>
    <row r="1182" spans="1:6" x14ac:dyDescent="0.35">
      <c r="A1182" s="2" t="s">
        <v>1607</v>
      </c>
      <c r="B1182" s="6" t="s">
        <v>1608</v>
      </c>
      <c r="C1182" s="2" t="s">
        <v>461</v>
      </c>
      <c r="D1182" s="4">
        <v>0.92064000000000001</v>
      </c>
      <c r="E1182" s="4">
        <v>0.74560000000000004</v>
      </c>
      <c r="F1182" s="4">
        <v>6.0800000000000003E-3</v>
      </c>
    </row>
    <row r="1183" spans="1:6" x14ac:dyDescent="0.35">
      <c r="A1183" s="2" t="s">
        <v>1609</v>
      </c>
      <c r="B1183" s="6" t="s">
        <v>1467</v>
      </c>
      <c r="C1183" s="2" t="s">
        <v>461</v>
      </c>
      <c r="D1183" s="4">
        <v>0.92703999999999998</v>
      </c>
      <c r="E1183" s="4">
        <v>0.75072000000000005</v>
      </c>
      <c r="F1183" s="4">
        <v>6.0800000000000003E-3</v>
      </c>
    </row>
    <row r="1184" spans="1:6" x14ac:dyDescent="0.35">
      <c r="A1184" s="2" t="s">
        <v>1610</v>
      </c>
      <c r="B1184" s="6" t="s">
        <v>1467</v>
      </c>
      <c r="C1184" s="2" t="s">
        <v>461</v>
      </c>
      <c r="D1184" s="4">
        <v>0.90783999999999998</v>
      </c>
      <c r="E1184" s="4">
        <v>0.73536000000000001</v>
      </c>
      <c r="F1184" s="4">
        <v>5.7600000000000004E-3</v>
      </c>
    </row>
    <row r="1185" spans="1:6" x14ac:dyDescent="0.35">
      <c r="A1185" s="2" t="s">
        <v>1611</v>
      </c>
      <c r="B1185" s="6" t="s">
        <v>1612</v>
      </c>
      <c r="C1185" s="2" t="s">
        <v>461</v>
      </c>
      <c r="D1185" s="4">
        <v>0.99263999999999997</v>
      </c>
      <c r="E1185" s="4">
        <v>0.81920000000000004</v>
      </c>
      <c r="F1185" s="4">
        <v>7.0400000000000003E-3</v>
      </c>
    </row>
    <row r="1186" spans="1:6" x14ac:dyDescent="0.35">
      <c r="A1186" s="2" t="s">
        <v>1613</v>
      </c>
      <c r="B1186" s="6" t="e">
        <v>#N/A</v>
      </c>
      <c r="C1186" s="2" t="e">
        <v>#N/A</v>
      </c>
      <c r="D1186" s="4">
        <v>1.1903999999999999</v>
      </c>
      <c r="E1186" s="4">
        <v>0.97216000000000002</v>
      </c>
      <c r="F1186" s="4">
        <v>8.6400000000000001E-3</v>
      </c>
    </row>
    <row r="1187" spans="1:6" x14ac:dyDescent="0.35">
      <c r="A1187" s="2" t="s">
        <v>1614</v>
      </c>
      <c r="B1187" s="6" t="s">
        <v>1484</v>
      </c>
      <c r="C1187" s="2" t="s">
        <v>461</v>
      </c>
      <c r="D1187" s="4">
        <v>1.05654</v>
      </c>
      <c r="E1187" s="4">
        <v>0.89176</v>
      </c>
      <c r="F1187" s="4">
        <v>5.77E-3</v>
      </c>
    </row>
    <row r="1188" spans="1:6" x14ac:dyDescent="0.35">
      <c r="A1188" s="2" t="s">
        <v>1615</v>
      </c>
      <c r="B1188" s="6" t="s">
        <v>1484</v>
      </c>
      <c r="C1188" s="2" t="s">
        <v>461</v>
      </c>
      <c r="D1188" s="4">
        <v>1.27345</v>
      </c>
      <c r="E1188" s="4">
        <v>1.0884799999999999</v>
      </c>
      <c r="F1188" s="4">
        <v>6.9800000000000001E-3</v>
      </c>
    </row>
    <row r="1189" spans="1:6" x14ac:dyDescent="0.35">
      <c r="A1189" s="2" t="s">
        <v>1616</v>
      </c>
      <c r="B1189" s="6" t="s">
        <v>1484</v>
      </c>
      <c r="C1189" s="2" t="s">
        <v>461</v>
      </c>
      <c r="D1189" s="4">
        <v>0.95072000000000001</v>
      </c>
      <c r="E1189" s="4">
        <v>0.77824000000000004</v>
      </c>
      <c r="F1189" s="4">
        <v>6.7200000000000003E-3</v>
      </c>
    </row>
    <row r="1190" spans="1:6" x14ac:dyDescent="0.35">
      <c r="A1190" s="2" t="s">
        <v>1617</v>
      </c>
      <c r="B1190" s="6" t="s">
        <v>1467</v>
      </c>
      <c r="C1190" s="2" t="s">
        <v>461</v>
      </c>
      <c r="D1190" s="4">
        <v>1.25536</v>
      </c>
      <c r="E1190" s="4">
        <v>1.0489599999999999</v>
      </c>
      <c r="F1190" s="4">
        <v>7.3600000000000002E-3</v>
      </c>
    </row>
    <row r="1191" spans="1:6" x14ac:dyDescent="0.35">
      <c r="A1191" s="2" t="s">
        <v>1618</v>
      </c>
      <c r="B1191" s="6" t="s">
        <v>1619</v>
      </c>
      <c r="C1191" s="2" t="s">
        <v>461</v>
      </c>
      <c r="D1191" s="4">
        <v>1.3513599999999999</v>
      </c>
      <c r="E1191" s="4">
        <v>1.15232</v>
      </c>
      <c r="F1191" s="4">
        <v>4.4799999999999996E-3</v>
      </c>
    </row>
    <row r="1192" spans="1:6" x14ac:dyDescent="0.35">
      <c r="A1192" s="2" t="s">
        <v>1620</v>
      </c>
      <c r="B1192" s="6" t="s">
        <v>1621</v>
      </c>
      <c r="C1192" s="2" t="s">
        <v>461</v>
      </c>
      <c r="D1192" s="4">
        <v>0.87904000000000004</v>
      </c>
      <c r="E1192" s="4">
        <v>0.54688000000000003</v>
      </c>
      <c r="F1192" s="4">
        <v>6.4000000000000003E-3</v>
      </c>
    </row>
    <row r="1193" spans="1:6" x14ac:dyDescent="0.35">
      <c r="A1193" s="2" t="s">
        <v>1622</v>
      </c>
      <c r="B1193" s="6" t="s">
        <v>1623</v>
      </c>
      <c r="C1193" s="2" t="s">
        <v>461</v>
      </c>
      <c r="D1193" s="4">
        <v>0.81023999999999996</v>
      </c>
      <c r="E1193" s="4">
        <v>0.50112000000000001</v>
      </c>
      <c r="F1193" s="4">
        <v>8.0000000000000002E-3</v>
      </c>
    </row>
    <row r="1194" spans="1:6" x14ac:dyDescent="0.35">
      <c r="A1194" s="2" t="s">
        <v>1624</v>
      </c>
      <c r="B1194" s="6" t="s">
        <v>1625</v>
      </c>
      <c r="C1194" s="2" t="s">
        <v>461</v>
      </c>
      <c r="D1194" s="4">
        <v>0.83040000000000003</v>
      </c>
      <c r="E1194" s="4">
        <v>0.51551999999999998</v>
      </c>
      <c r="F1194" s="4">
        <v>8.3199999999999993E-3</v>
      </c>
    </row>
    <row r="1195" spans="1:6" x14ac:dyDescent="0.35">
      <c r="A1195" s="2" t="s">
        <v>1626</v>
      </c>
      <c r="B1195" s="6" t="s">
        <v>1467</v>
      </c>
      <c r="C1195" s="2" t="s">
        <v>461</v>
      </c>
      <c r="D1195" s="4">
        <v>0.94016</v>
      </c>
      <c r="E1195" s="4">
        <v>0.77183999999999997</v>
      </c>
      <c r="F1195" s="4">
        <v>6.7200000000000003E-3</v>
      </c>
    </row>
    <row r="1196" spans="1:6" x14ac:dyDescent="0.35">
      <c r="A1196" s="2" t="s">
        <v>1627</v>
      </c>
      <c r="B1196" s="6" t="s">
        <v>1591</v>
      </c>
      <c r="C1196" s="2" t="s">
        <v>461</v>
      </c>
      <c r="D1196" s="4">
        <v>0.92735999999999996</v>
      </c>
      <c r="E1196" s="4">
        <v>0.76192000000000004</v>
      </c>
      <c r="F1196" s="4">
        <v>6.7200000000000003E-3</v>
      </c>
    </row>
    <row r="1197" spans="1:6" x14ac:dyDescent="0.35">
      <c r="A1197" s="2" t="s">
        <v>1628</v>
      </c>
      <c r="B1197" s="6" t="s">
        <v>1484</v>
      </c>
      <c r="C1197" s="2" t="s">
        <v>461</v>
      </c>
      <c r="D1197" s="4">
        <v>0.92464000000000002</v>
      </c>
      <c r="E1197" s="4">
        <v>0.78415999999999997</v>
      </c>
      <c r="F1197" s="4">
        <v>2.2499999999999998E-3</v>
      </c>
    </row>
    <row r="1198" spans="1:6" x14ac:dyDescent="0.35">
      <c r="A1198" s="2" t="s">
        <v>1629</v>
      </c>
      <c r="B1198" s="6" t="s">
        <v>1467</v>
      </c>
      <c r="C1198" s="2" t="s">
        <v>461</v>
      </c>
      <c r="D1198" s="4">
        <v>0.81247999999999998</v>
      </c>
      <c r="E1198" s="4">
        <v>0.64256000000000002</v>
      </c>
      <c r="F1198" s="4">
        <v>2.2399999999999998E-3</v>
      </c>
    </row>
    <row r="1199" spans="1:6" x14ac:dyDescent="0.35">
      <c r="A1199" s="2" t="s">
        <v>1630</v>
      </c>
      <c r="B1199" s="6" t="s">
        <v>1631</v>
      </c>
      <c r="C1199" s="2" t="s">
        <v>461</v>
      </c>
      <c r="D1199" s="4">
        <v>1.55264</v>
      </c>
      <c r="E1199" s="4">
        <v>1.36896</v>
      </c>
      <c r="F1199" s="4">
        <v>7.0400000000000003E-3</v>
      </c>
    </row>
    <row r="1200" spans="1:6" x14ac:dyDescent="0.35">
      <c r="A1200" s="2" t="s">
        <v>1632</v>
      </c>
      <c r="B1200" s="6" t="s">
        <v>1633</v>
      </c>
      <c r="C1200" s="2" t="s">
        <v>461</v>
      </c>
      <c r="D1200" s="4">
        <v>1.4425600000000001</v>
      </c>
      <c r="E1200" s="4">
        <v>1.2614399999999999</v>
      </c>
      <c r="F1200" s="4">
        <v>6.4000000000000003E-3</v>
      </c>
    </row>
    <row r="1201" spans="1:6" x14ac:dyDescent="0.35">
      <c r="A1201" s="2" t="s">
        <v>1634</v>
      </c>
      <c r="B1201" s="6" t="s">
        <v>1635</v>
      </c>
      <c r="C1201" s="2" t="s">
        <v>461</v>
      </c>
      <c r="D1201" s="4">
        <v>0.8256</v>
      </c>
      <c r="E1201" s="4">
        <v>0.68159999999999998</v>
      </c>
      <c r="F1201" s="4">
        <v>1.2800000000000001E-3</v>
      </c>
    </row>
    <row r="1202" spans="1:6" x14ac:dyDescent="0.35">
      <c r="A1202" s="2" t="s">
        <v>1636</v>
      </c>
      <c r="B1202" s="6" t="s">
        <v>1633</v>
      </c>
      <c r="C1202" s="2" t="s">
        <v>461</v>
      </c>
      <c r="D1202" s="4">
        <v>1.4537599999999999</v>
      </c>
      <c r="E1202" s="4">
        <v>1.2419199999999999</v>
      </c>
      <c r="F1202" s="4">
        <v>1.312E-2</v>
      </c>
    </row>
    <row r="1203" spans="1:6" x14ac:dyDescent="0.35">
      <c r="A1203" s="2" t="s">
        <v>1637</v>
      </c>
      <c r="B1203" s="6" t="s">
        <v>1467</v>
      </c>
      <c r="C1203" s="2" t="s">
        <v>461</v>
      </c>
      <c r="D1203" s="4">
        <v>1.39008</v>
      </c>
      <c r="E1203" s="4">
        <v>1.20672</v>
      </c>
      <c r="F1203" s="4">
        <v>6.0800000000000003E-3</v>
      </c>
    </row>
    <row r="1204" spans="1:6" x14ac:dyDescent="0.35">
      <c r="A1204" s="2" t="s">
        <v>1638</v>
      </c>
      <c r="B1204" s="6" t="s">
        <v>1467</v>
      </c>
      <c r="C1204" s="2" t="s">
        <v>461</v>
      </c>
      <c r="D1204" s="4">
        <v>1.3728</v>
      </c>
      <c r="E1204" s="4">
        <v>1.1875199999999999</v>
      </c>
      <c r="F1204" s="4">
        <v>6.0800000000000003E-3</v>
      </c>
    </row>
    <row r="1205" spans="1:6" x14ac:dyDescent="0.35">
      <c r="A1205" s="2" t="s">
        <v>1639</v>
      </c>
      <c r="B1205" s="6" t="s">
        <v>1640</v>
      </c>
      <c r="C1205" s="2" t="s">
        <v>461</v>
      </c>
      <c r="D1205" s="4">
        <v>1.4492799999999999</v>
      </c>
      <c r="E1205" s="4">
        <v>1.2665599999999999</v>
      </c>
      <c r="F1205" s="4">
        <v>6.4000000000000003E-3</v>
      </c>
    </row>
    <row r="1206" spans="1:6" x14ac:dyDescent="0.35">
      <c r="A1206" s="2" t="s">
        <v>1641</v>
      </c>
      <c r="B1206" s="6" t="s">
        <v>1631</v>
      </c>
      <c r="C1206" s="2" t="s">
        <v>461</v>
      </c>
      <c r="D1206" s="4">
        <v>1.4761599999999999</v>
      </c>
      <c r="E1206" s="4">
        <v>1.2905599999999999</v>
      </c>
      <c r="F1206" s="4">
        <v>6.7200000000000003E-3</v>
      </c>
    </row>
    <row r="1207" spans="1:6" x14ac:dyDescent="0.35">
      <c r="A1207" s="2" t="s">
        <v>1642</v>
      </c>
      <c r="B1207" s="6" t="s">
        <v>1633</v>
      </c>
      <c r="C1207" s="2" t="s">
        <v>461</v>
      </c>
      <c r="D1207" s="4">
        <v>1.4767999999999999</v>
      </c>
      <c r="E1207" s="4">
        <v>1.2902400000000001</v>
      </c>
      <c r="F1207" s="4">
        <v>6.7200000000000003E-3</v>
      </c>
    </row>
    <row r="1208" spans="1:6" x14ac:dyDescent="0.35">
      <c r="A1208" s="2" t="s">
        <v>1643</v>
      </c>
      <c r="B1208" s="6" t="s">
        <v>1484</v>
      </c>
      <c r="C1208" s="2" t="s">
        <v>461</v>
      </c>
      <c r="D1208" s="4">
        <v>1.45242</v>
      </c>
      <c r="E1208" s="4">
        <v>1.2493099999999999</v>
      </c>
      <c r="F1208" s="4">
        <v>1.11E-2</v>
      </c>
    </row>
    <row r="1209" spans="1:6" x14ac:dyDescent="0.35">
      <c r="A1209" s="2" t="s">
        <v>1644</v>
      </c>
      <c r="B1209" s="6" t="s">
        <v>1467</v>
      </c>
      <c r="C1209" s="2" t="s">
        <v>461</v>
      </c>
      <c r="D1209" s="4">
        <v>1.0764800000000001</v>
      </c>
      <c r="E1209" s="4">
        <v>0.87744</v>
      </c>
      <c r="F1209" s="4">
        <v>7.6800000000000002E-3</v>
      </c>
    </row>
    <row r="1210" spans="1:6" x14ac:dyDescent="0.35">
      <c r="A1210" s="2" t="s">
        <v>1645</v>
      </c>
      <c r="B1210" s="6" t="s">
        <v>1467</v>
      </c>
      <c r="C1210" s="2" t="s">
        <v>461</v>
      </c>
      <c r="D1210" s="4">
        <v>1.1072</v>
      </c>
      <c r="E1210" s="4">
        <v>0.89695999999999998</v>
      </c>
      <c r="F1210" s="4">
        <v>8.0000000000000002E-3</v>
      </c>
    </row>
    <row r="1211" spans="1:6" x14ac:dyDescent="0.35">
      <c r="A1211" s="2" t="s">
        <v>1646</v>
      </c>
      <c r="B1211" s="6" t="s">
        <v>1647</v>
      </c>
      <c r="C1211" s="2" t="s">
        <v>461</v>
      </c>
      <c r="D1211" s="4">
        <v>1.0895999999999999</v>
      </c>
      <c r="E1211" s="4">
        <v>0.87616000000000005</v>
      </c>
      <c r="F1211" s="4">
        <v>8.0000000000000002E-3</v>
      </c>
    </row>
    <row r="1212" spans="1:6" x14ac:dyDescent="0.35">
      <c r="A1212" s="2" t="s">
        <v>1648</v>
      </c>
      <c r="B1212" s="6" t="s">
        <v>1649</v>
      </c>
      <c r="C1212" s="2" t="s">
        <v>461</v>
      </c>
      <c r="D1212" s="4">
        <v>1.03776</v>
      </c>
      <c r="E1212" s="4">
        <v>0.83775999999999995</v>
      </c>
      <c r="F1212" s="4">
        <v>7.3600000000000002E-3</v>
      </c>
    </row>
    <row r="1213" spans="1:6" x14ac:dyDescent="0.35">
      <c r="A1213" s="2" t="s">
        <v>1650</v>
      </c>
      <c r="B1213" s="6" t="s">
        <v>1651</v>
      </c>
      <c r="C1213" s="2" t="s">
        <v>461</v>
      </c>
      <c r="D1213" s="4">
        <v>1.0777600000000001</v>
      </c>
      <c r="E1213" s="4">
        <v>0.86848000000000003</v>
      </c>
      <c r="F1213" s="4">
        <v>7.6800000000000002E-3</v>
      </c>
    </row>
    <row r="1214" spans="1:6" x14ac:dyDescent="0.35">
      <c r="A1214" s="2" t="s">
        <v>1652</v>
      </c>
      <c r="B1214" s="6" t="s">
        <v>1653</v>
      </c>
      <c r="C1214" s="2" t="s">
        <v>461</v>
      </c>
      <c r="D1214" s="4">
        <v>1.0585599999999999</v>
      </c>
      <c r="E1214" s="4">
        <v>0.85599999999999998</v>
      </c>
      <c r="F1214" s="4">
        <v>7.6800000000000002E-3</v>
      </c>
    </row>
    <row r="1215" spans="1:6" x14ac:dyDescent="0.35">
      <c r="A1215" s="2" t="s">
        <v>1654</v>
      </c>
      <c r="B1215" s="6" t="s">
        <v>1655</v>
      </c>
      <c r="C1215" s="2" t="s">
        <v>461</v>
      </c>
      <c r="D1215" s="4">
        <v>1.0582400000000001</v>
      </c>
      <c r="E1215" s="4">
        <v>0.85375999999999996</v>
      </c>
      <c r="F1215" s="4">
        <v>7.6800000000000002E-3</v>
      </c>
    </row>
    <row r="1216" spans="1:6" x14ac:dyDescent="0.35">
      <c r="A1216" s="2" t="s">
        <v>1656</v>
      </c>
      <c r="B1216" s="6" t="s">
        <v>1657</v>
      </c>
      <c r="C1216" s="2" t="s">
        <v>461</v>
      </c>
      <c r="D1216" s="4">
        <v>1.0230399999999999</v>
      </c>
      <c r="E1216" s="4">
        <v>0.82623999999999997</v>
      </c>
      <c r="F1216" s="4">
        <v>7.3600000000000002E-3</v>
      </c>
    </row>
    <row r="1217" spans="1:6" x14ac:dyDescent="0.35">
      <c r="A1217" s="2" t="s">
        <v>1658</v>
      </c>
      <c r="B1217" s="6" t="s">
        <v>1659</v>
      </c>
      <c r="C1217" s="2" t="s">
        <v>461</v>
      </c>
      <c r="D1217" s="4">
        <v>1.0070399999999999</v>
      </c>
      <c r="E1217" s="4">
        <v>0.80767999999999995</v>
      </c>
      <c r="F1217" s="4">
        <v>6.7200000000000003E-3</v>
      </c>
    </row>
    <row r="1218" spans="1:6" x14ac:dyDescent="0.35">
      <c r="A1218" s="2" t="s">
        <v>1660</v>
      </c>
      <c r="B1218" s="6" t="s">
        <v>1661</v>
      </c>
      <c r="C1218" s="2" t="s">
        <v>461</v>
      </c>
      <c r="D1218" s="4">
        <v>0.98463999999999996</v>
      </c>
      <c r="E1218" s="4">
        <v>0.78624000000000005</v>
      </c>
      <c r="F1218" s="4">
        <v>6.7200000000000003E-3</v>
      </c>
    </row>
    <row r="1219" spans="1:6" x14ac:dyDescent="0.35">
      <c r="A1219" s="2" t="s">
        <v>1662</v>
      </c>
      <c r="B1219" s="6" t="s">
        <v>1663</v>
      </c>
      <c r="C1219" s="2" t="s">
        <v>461</v>
      </c>
      <c r="D1219" s="4">
        <v>1.1248</v>
      </c>
      <c r="E1219" s="4">
        <v>0.92096</v>
      </c>
      <c r="F1219" s="4">
        <v>8.0000000000000002E-3</v>
      </c>
    </row>
    <row r="1220" spans="1:6" x14ac:dyDescent="0.35">
      <c r="A1220" s="2" t="s">
        <v>1664</v>
      </c>
      <c r="B1220" s="6" t="s">
        <v>1665</v>
      </c>
      <c r="C1220" s="2" t="s">
        <v>461</v>
      </c>
      <c r="D1220" s="4">
        <v>1.0396799999999999</v>
      </c>
      <c r="E1220" s="4">
        <v>0.60543999999999998</v>
      </c>
      <c r="F1220" s="4">
        <v>9.5999999999999992E-3</v>
      </c>
    </row>
    <row r="1221" spans="1:6" x14ac:dyDescent="0.35">
      <c r="A1221" s="2" t="s">
        <v>1666</v>
      </c>
      <c r="B1221" s="6" t="s">
        <v>1667</v>
      </c>
      <c r="C1221" s="2" t="s">
        <v>461</v>
      </c>
      <c r="D1221" s="4">
        <v>1.02336</v>
      </c>
      <c r="E1221" s="4">
        <v>0.82079999999999997</v>
      </c>
      <c r="F1221" s="4">
        <v>7.0400000000000003E-3</v>
      </c>
    </row>
    <row r="1222" spans="1:6" x14ac:dyDescent="0.35">
      <c r="A1222" s="2" t="s">
        <v>1668</v>
      </c>
      <c r="B1222" s="6" t="s">
        <v>1467</v>
      </c>
      <c r="C1222" s="2" t="s">
        <v>461</v>
      </c>
      <c r="D1222" s="4">
        <v>1.0089600000000001</v>
      </c>
      <c r="E1222" s="4">
        <v>0.80928</v>
      </c>
      <c r="F1222" s="4">
        <v>6.7200000000000003E-3</v>
      </c>
    </row>
    <row r="1223" spans="1:6" x14ac:dyDescent="0.35">
      <c r="A1223" s="2" t="s">
        <v>1669</v>
      </c>
      <c r="B1223" s="6" t="s">
        <v>1467</v>
      </c>
      <c r="C1223" s="2" t="s">
        <v>461</v>
      </c>
      <c r="D1223" s="4">
        <v>1.0316799999999999</v>
      </c>
      <c r="E1223" s="4">
        <v>0.83072000000000001</v>
      </c>
      <c r="F1223" s="4">
        <v>7.0400000000000003E-3</v>
      </c>
    </row>
    <row r="1224" spans="1:6" x14ac:dyDescent="0.35">
      <c r="A1224" s="2" t="s">
        <v>1670</v>
      </c>
      <c r="B1224" s="6" t="s">
        <v>1467</v>
      </c>
      <c r="C1224" s="2" t="s">
        <v>461</v>
      </c>
      <c r="D1224" s="4">
        <v>1.0307200000000001</v>
      </c>
      <c r="E1224" s="4">
        <v>0.83008000000000004</v>
      </c>
      <c r="F1224" s="4">
        <v>7.0400000000000003E-3</v>
      </c>
    </row>
    <row r="1225" spans="1:6" x14ac:dyDescent="0.35">
      <c r="A1225" s="2" t="s">
        <v>1671</v>
      </c>
      <c r="B1225" s="6" t="s">
        <v>1467</v>
      </c>
      <c r="C1225" s="2" t="s">
        <v>461</v>
      </c>
      <c r="D1225" s="4">
        <v>1.0316799999999999</v>
      </c>
      <c r="E1225" s="4">
        <v>0.83072000000000001</v>
      </c>
      <c r="F1225" s="4">
        <v>7.0400000000000003E-3</v>
      </c>
    </row>
    <row r="1226" spans="1:6" x14ac:dyDescent="0.35">
      <c r="A1226" s="2" t="s">
        <v>1672</v>
      </c>
      <c r="B1226" s="6" t="s">
        <v>1467</v>
      </c>
      <c r="C1226" s="2" t="s">
        <v>461</v>
      </c>
      <c r="D1226" s="4">
        <v>1.0284800000000001</v>
      </c>
      <c r="E1226" s="4">
        <v>0.82976000000000005</v>
      </c>
      <c r="F1226" s="4">
        <v>7.3600000000000002E-3</v>
      </c>
    </row>
    <row r="1227" spans="1:6" x14ac:dyDescent="0.35">
      <c r="A1227" s="2" t="s">
        <v>1673</v>
      </c>
      <c r="B1227" s="6" t="e">
        <v>#N/A</v>
      </c>
      <c r="C1227" s="2" t="e">
        <v>#N/A</v>
      </c>
      <c r="D1227" s="4">
        <v>1.1353599999999999</v>
      </c>
      <c r="E1227" s="4">
        <v>0.93855999999999995</v>
      </c>
      <c r="F1227" s="4">
        <v>6.7200000000000003E-3</v>
      </c>
    </row>
    <row r="1228" spans="1:6" x14ac:dyDescent="0.35">
      <c r="A1228" s="2" t="s">
        <v>1674</v>
      </c>
      <c r="B1228" s="6" t="s">
        <v>1484</v>
      </c>
      <c r="C1228" s="2" t="s">
        <v>461</v>
      </c>
      <c r="D1228" s="4">
        <v>1.0230399999999999</v>
      </c>
      <c r="E1228" s="4">
        <v>0.82623999999999997</v>
      </c>
      <c r="F1228" s="4">
        <v>7.3600000000000002E-3</v>
      </c>
    </row>
    <row r="1229" spans="1:6" x14ac:dyDescent="0.35">
      <c r="A1229" s="2" t="s">
        <v>1675</v>
      </c>
      <c r="B1229" s="6" t="s">
        <v>1484</v>
      </c>
      <c r="C1229" s="2" t="s">
        <v>461</v>
      </c>
      <c r="D1229" s="4">
        <v>1.0374699999999999</v>
      </c>
      <c r="E1229" s="4">
        <v>0.83753</v>
      </c>
      <c r="F1229" s="4">
        <v>7.3600000000000002E-3</v>
      </c>
    </row>
    <row r="1230" spans="1:6" x14ac:dyDescent="0.35">
      <c r="A1230" s="2" t="s">
        <v>1676</v>
      </c>
      <c r="B1230" s="6" t="s">
        <v>1467</v>
      </c>
      <c r="C1230" s="2" t="s">
        <v>461</v>
      </c>
      <c r="D1230" s="4">
        <v>1.0771200000000001</v>
      </c>
      <c r="E1230" s="4">
        <v>0.85631999999999997</v>
      </c>
      <c r="F1230" s="4">
        <v>7.6800000000000002E-3</v>
      </c>
    </row>
    <row r="1231" spans="1:6" x14ac:dyDescent="0.35">
      <c r="A1231" s="2" t="s">
        <v>1677</v>
      </c>
      <c r="B1231" s="6" t="e">
        <v>#N/A</v>
      </c>
      <c r="C1231" s="2" t="e">
        <v>#N/A</v>
      </c>
      <c r="D1231" s="4">
        <v>1.0192000000000001</v>
      </c>
      <c r="E1231" s="4">
        <v>0.82976000000000005</v>
      </c>
      <c r="F1231" s="4">
        <v>7.3600000000000002E-3</v>
      </c>
    </row>
    <row r="1232" spans="1:6" x14ac:dyDescent="0.35">
      <c r="A1232" s="2" t="s">
        <v>1678</v>
      </c>
      <c r="B1232" s="6" t="s">
        <v>1679</v>
      </c>
      <c r="C1232" s="2" t="s">
        <v>461</v>
      </c>
      <c r="D1232" s="4">
        <v>0.496</v>
      </c>
      <c r="E1232" s="4">
        <v>0.2848</v>
      </c>
      <c r="F1232" s="4">
        <v>3.2000000000000002E-3</v>
      </c>
    </row>
    <row r="1233" spans="1:6" x14ac:dyDescent="0.35">
      <c r="A1233" s="2" t="s">
        <v>1680</v>
      </c>
      <c r="B1233" s="6" t="s">
        <v>1681</v>
      </c>
      <c r="C1233" s="2" t="s">
        <v>461</v>
      </c>
      <c r="D1233" s="4">
        <v>0.49503999999999998</v>
      </c>
      <c r="E1233" s="4">
        <v>0.28320000000000001</v>
      </c>
      <c r="F1233" s="4">
        <v>3.2000000000000002E-3</v>
      </c>
    </row>
    <row r="1234" spans="1:6" x14ac:dyDescent="0.35">
      <c r="A1234" s="2" t="s">
        <v>1682</v>
      </c>
      <c r="B1234" s="6" t="s">
        <v>1683</v>
      </c>
      <c r="C1234" s="2" t="s">
        <v>461</v>
      </c>
      <c r="D1234" s="4">
        <v>0.62687999999999999</v>
      </c>
      <c r="E1234" s="4">
        <v>0.31968000000000002</v>
      </c>
      <c r="F1234" s="4">
        <v>5.1200000000000004E-3</v>
      </c>
    </row>
    <row r="1235" spans="1:6" x14ac:dyDescent="0.35">
      <c r="A1235" s="2" t="s">
        <v>1684</v>
      </c>
      <c r="B1235" s="6" t="s">
        <v>1685</v>
      </c>
      <c r="C1235" s="2" t="s">
        <v>461</v>
      </c>
      <c r="D1235" s="4">
        <v>0.61728000000000005</v>
      </c>
      <c r="E1235" s="4">
        <v>0.30656</v>
      </c>
      <c r="F1235" s="4">
        <v>5.1200000000000004E-3</v>
      </c>
    </row>
    <row r="1236" spans="1:6" x14ac:dyDescent="0.35">
      <c r="A1236" s="2" t="s">
        <v>1686</v>
      </c>
      <c r="B1236" s="6" t="s">
        <v>1484</v>
      </c>
      <c r="C1236" s="2" t="s">
        <v>461</v>
      </c>
      <c r="D1236" s="4">
        <v>0.62687999999999999</v>
      </c>
      <c r="E1236" s="4">
        <v>0.31968000000000002</v>
      </c>
      <c r="F1236" s="4">
        <v>5.1200000000000004E-3</v>
      </c>
    </row>
    <row r="1237" spans="1:6" x14ac:dyDescent="0.35">
      <c r="A1237" s="2" t="s">
        <v>1687</v>
      </c>
      <c r="B1237" s="6" t="s">
        <v>1484</v>
      </c>
      <c r="C1237" s="2" t="s">
        <v>461</v>
      </c>
      <c r="D1237" s="4">
        <v>1.5587</v>
      </c>
      <c r="E1237" s="4">
        <v>1.42313</v>
      </c>
      <c r="F1237" s="4">
        <v>6.1199999999999996E-3</v>
      </c>
    </row>
    <row r="1238" spans="1:6" x14ac:dyDescent="0.35">
      <c r="A1238" s="2" t="s">
        <v>1688</v>
      </c>
      <c r="B1238" s="6" t="e">
        <v>#N/A</v>
      </c>
      <c r="C1238" s="2" t="e">
        <v>#N/A</v>
      </c>
      <c r="D1238" s="4">
        <v>1.27616</v>
      </c>
      <c r="E1238" s="4">
        <v>1.09152</v>
      </c>
      <c r="F1238" s="4">
        <v>7.3600000000000002E-3</v>
      </c>
    </row>
    <row r="1239" spans="1:6" x14ac:dyDescent="0.35">
      <c r="A1239" s="2" t="s">
        <v>1689</v>
      </c>
      <c r="B1239" s="6" t="s">
        <v>1690</v>
      </c>
      <c r="C1239" s="2" t="s">
        <v>461</v>
      </c>
      <c r="D1239" s="4">
        <v>1.6335999999999999</v>
      </c>
      <c r="E1239" s="4">
        <v>1.4291199999999999</v>
      </c>
      <c r="F1239" s="4">
        <v>8.0000000000000002E-3</v>
      </c>
    </row>
    <row r="1240" spans="1:6" x14ac:dyDescent="0.35">
      <c r="A1240" s="2" t="s">
        <v>1691</v>
      </c>
      <c r="B1240" s="6" t="s">
        <v>1692</v>
      </c>
      <c r="C1240" s="2" t="s">
        <v>461</v>
      </c>
      <c r="D1240" s="4">
        <v>1.50976</v>
      </c>
      <c r="E1240" s="4">
        <v>1.3078399999999999</v>
      </c>
      <c r="F1240" s="4">
        <v>7.0400000000000003E-3</v>
      </c>
    </row>
    <row r="1241" spans="1:6" x14ac:dyDescent="0.35">
      <c r="A1241" s="2" t="s">
        <v>1693</v>
      </c>
      <c r="B1241" s="6" t="s">
        <v>1694</v>
      </c>
      <c r="C1241" s="2" t="s">
        <v>461</v>
      </c>
      <c r="D1241" s="4">
        <v>0.91232000000000002</v>
      </c>
      <c r="E1241" s="4">
        <v>0.75039999999999996</v>
      </c>
      <c r="F1241" s="4">
        <v>1.92E-3</v>
      </c>
    </row>
    <row r="1242" spans="1:6" x14ac:dyDescent="0.35">
      <c r="A1242" s="2" t="s">
        <v>1695</v>
      </c>
      <c r="B1242" s="6" t="s">
        <v>1692</v>
      </c>
      <c r="C1242" s="2" t="s">
        <v>461</v>
      </c>
      <c r="D1242" s="4">
        <v>1.52288</v>
      </c>
      <c r="E1242" s="4">
        <v>1.2831999999999999</v>
      </c>
      <c r="F1242" s="4">
        <v>1.6E-2</v>
      </c>
    </row>
    <row r="1243" spans="1:6" x14ac:dyDescent="0.35">
      <c r="A1243" s="2" t="s">
        <v>1696</v>
      </c>
      <c r="B1243" s="6" t="s">
        <v>1467</v>
      </c>
      <c r="C1243" s="2" t="s">
        <v>461</v>
      </c>
      <c r="D1243" s="4">
        <v>1.47072</v>
      </c>
      <c r="E1243" s="4">
        <v>1.264</v>
      </c>
      <c r="F1243" s="4">
        <v>7.0400000000000003E-3</v>
      </c>
    </row>
    <row r="1244" spans="1:6" x14ac:dyDescent="0.35">
      <c r="A1244" s="2" t="s">
        <v>1697</v>
      </c>
      <c r="B1244" s="6" t="s">
        <v>1467</v>
      </c>
      <c r="C1244" s="2" t="s">
        <v>461</v>
      </c>
      <c r="D1244" s="4">
        <v>1.44096</v>
      </c>
      <c r="E1244" s="4">
        <v>1.2339199999999999</v>
      </c>
      <c r="F1244" s="4">
        <v>6.7200000000000003E-3</v>
      </c>
    </row>
    <row r="1245" spans="1:6" x14ac:dyDescent="0.35">
      <c r="A1245" s="2" t="s">
        <v>1698</v>
      </c>
      <c r="B1245" s="6" t="s">
        <v>1690</v>
      </c>
      <c r="C1245" s="2" t="s">
        <v>461</v>
      </c>
      <c r="D1245" s="4">
        <v>1.6691199999999999</v>
      </c>
      <c r="E1245" s="4">
        <v>1.4601599999999999</v>
      </c>
      <c r="F1245" s="4">
        <v>8.3199999999999993E-3</v>
      </c>
    </row>
    <row r="1246" spans="1:6" x14ac:dyDescent="0.35">
      <c r="A1246" s="2" t="s">
        <v>1699</v>
      </c>
      <c r="B1246" s="6" t="s">
        <v>1692</v>
      </c>
      <c r="C1246" s="2" t="s">
        <v>461</v>
      </c>
      <c r="D1246" s="4">
        <v>1.5347200000000001</v>
      </c>
      <c r="E1246" s="4">
        <v>1.3289599999999999</v>
      </c>
      <c r="F1246" s="4">
        <v>7.0400000000000003E-3</v>
      </c>
    </row>
    <row r="1247" spans="1:6" x14ac:dyDescent="0.35">
      <c r="A1247" s="2" t="s">
        <v>1700</v>
      </c>
      <c r="B1247" s="6" t="e">
        <v>#N/A</v>
      </c>
      <c r="C1247" s="2" t="e">
        <v>#N/A</v>
      </c>
      <c r="D1247" s="4">
        <v>0.69791999999999998</v>
      </c>
      <c r="E1247" s="4">
        <v>0.54623999999999995</v>
      </c>
      <c r="F1247" s="4">
        <v>1.2800000000000001E-3</v>
      </c>
    </row>
    <row r="1248" spans="1:6" x14ac:dyDescent="0.35">
      <c r="A1248" s="2" t="s">
        <v>1701</v>
      </c>
      <c r="B1248" s="6" t="s">
        <v>1702</v>
      </c>
      <c r="C1248" s="2" t="s">
        <v>461</v>
      </c>
      <c r="D1248" s="4">
        <v>0.79200000000000004</v>
      </c>
      <c r="E1248" s="4">
        <v>0.51327999999999996</v>
      </c>
      <c r="F1248" s="4">
        <v>3.8400000000000001E-3</v>
      </c>
    </row>
    <row r="1249" spans="1:6" x14ac:dyDescent="0.35">
      <c r="A1249" s="2" t="s">
        <v>1703</v>
      </c>
      <c r="B1249" s="6" t="s">
        <v>1704</v>
      </c>
      <c r="C1249" s="2" t="s">
        <v>461</v>
      </c>
      <c r="D1249" s="4">
        <v>0.69503999999999999</v>
      </c>
      <c r="E1249" s="4">
        <v>0.51136000000000004</v>
      </c>
      <c r="F1249" s="4">
        <v>3.8400000000000001E-3</v>
      </c>
    </row>
    <row r="1250" spans="1:6" x14ac:dyDescent="0.35">
      <c r="A1250" s="2" t="s">
        <v>1705</v>
      </c>
      <c r="B1250" s="6" t="s">
        <v>1706</v>
      </c>
      <c r="C1250" s="2" t="s">
        <v>461</v>
      </c>
      <c r="D1250" s="4">
        <v>0.88256000000000001</v>
      </c>
      <c r="E1250" s="4">
        <v>0.72319999999999995</v>
      </c>
      <c r="F1250" s="4">
        <v>5.4400000000000004E-3</v>
      </c>
    </row>
    <row r="1251" spans="1:6" x14ac:dyDescent="0.35">
      <c r="A1251" s="2" t="s">
        <v>1707</v>
      </c>
      <c r="B1251" s="6" t="s">
        <v>1708</v>
      </c>
      <c r="C1251" s="2" t="s">
        <v>461</v>
      </c>
      <c r="D1251" s="4">
        <v>0.82016</v>
      </c>
      <c r="E1251" s="4">
        <v>0.66464000000000001</v>
      </c>
      <c r="F1251" s="4">
        <v>5.1200000000000004E-3</v>
      </c>
    </row>
    <row r="1252" spans="1:6" x14ac:dyDescent="0.35">
      <c r="A1252" s="2" t="s">
        <v>1709</v>
      </c>
      <c r="B1252" s="6" t="e">
        <v>#N/A</v>
      </c>
      <c r="C1252" s="2" t="e">
        <v>#N/A</v>
      </c>
      <c r="D1252" s="4">
        <v>0.93184</v>
      </c>
      <c r="E1252" s="4">
        <v>0.77151999999999998</v>
      </c>
      <c r="F1252" s="4">
        <v>5.7600000000000004E-3</v>
      </c>
    </row>
    <row r="1253" spans="1:6" x14ac:dyDescent="0.35">
      <c r="A1253" s="2" t="s">
        <v>1710</v>
      </c>
      <c r="B1253" s="6" t="s">
        <v>1711</v>
      </c>
      <c r="C1253" s="2" t="s">
        <v>461</v>
      </c>
      <c r="D1253" s="4">
        <v>0.92671999999999999</v>
      </c>
      <c r="E1253" s="4">
        <v>0.74528000000000005</v>
      </c>
      <c r="F1253" s="4">
        <v>7.0400000000000003E-3</v>
      </c>
    </row>
    <row r="1254" spans="1:6" x14ac:dyDescent="0.35">
      <c r="A1254" s="2" t="s">
        <v>1712</v>
      </c>
      <c r="B1254" s="6" t="s">
        <v>1713</v>
      </c>
      <c r="C1254" s="2" t="s">
        <v>461</v>
      </c>
      <c r="D1254" s="4">
        <v>0.82303999999999999</v>
      </c>
      <c r="E1254" s="4">
        <v>0.64895999999999998</v>
      </c>
      <c r="F1254" s="4">
        <v>6.0800000000000003E-3</v>
      </c>
    </row>
    <row r="1255" spans="1:6" x14ac:dyDescent="0.35">
      <c r="A1255" s="2" t="s">
        <v>1714</v>
      </c>
      <c r="B1255" s="6" t="s">
        <v>1715</v>
      </c>
      <c r="C1255" s="2" t="s">
        <v>461</v>
      </c>
      <c r="D1255" s="4">
        <v>0.86783999999999994</v>
      </c>
      <c r="E1255" s="4">
        <v>0.70176000000000005</v>
      </c>
      <c r="F1255" s="4">
        <v>6.0800000000000003E-3</v>
      </c>
    </row>
    <row r="1256" spans="1:6" x14ac:dyDescent="0.35">
      <c r="A1256" s="2" t="s">
        <v>1716</v>
      </c>
      <c r="B1256" s="6" t="s">
        <v>1717</v>
      </c>
      <c r="C1256" s="2" t="s">
        <v>461</v>
      </c>
      <c r="D1256" s="4">
        <v>0.84</v>
      </c>
      <c r="E1256" s="4">
        <v>0.68096000000000001</v>
      </c>
      <c r="F1256" s="4">
        <v>5.7600000000000004E-3</v>
      </c>
    </row>
    <row r="1257" spans="1:6" x14ac:dyDescent="0.35">
      <c r="A1257" s="2" t="s">
        <v>1718</v>
      </c>
      <c r="B1257" s="6" t="s">
        <v>1719</v>
      </c>
      <c r="C1257" s="2" t="s">
        <v>461</v>
      </c>
      <c r="D1257" s="4">
        <v>0.80608000000000002</v>
      </c>
      <c r="E1257" s="4">
        <v>0.63519999999999999</v>
      </c>
      <c r="F1257" s="4">
        <v>5.7600000000000004E-3</v>
      </c>
    </row>
    <row r="1258" spans="1:6" x14ac:dyDescent="0.35">
      <c r="A1258" s="2" t="s">
        <v>1720</v>
      </c>
      <c r="B1258" s="6" t="s">
        <v>1721</v>
      </c>
      <c r="C1258" s="2" t="s">
        <v>461</v>
      </c>
      <c r="D1258" s="4">
        <v>0.77856000000000003</v>
      </c>
      <c r="E1258" s="4">
        <v>0.61472000000000004</v>
      </c>
      <c r="F1258" s="4">
        <v>5.4400000000000004E-3</v>
      </c>
    </row>
    <row r="1259" spans="1:6" x14ac:dyDescent="0.35">
      <c r="A1259" s="2" t="s">
        <v>1722</v>
      </c>
      <c r="B1259" s="6" t="s">
        <v>1723</v>
      </c>
      <c r="C1259" s="2" t="s">
        <v>461</v>
      </c>
      <c r="D1259" s="4">
        <v>0.11552</v>
      </c>
      <c r="E1259" s="4">
        <v>-4.7999999999999996E-3</v>
      </c>
      <c r="F1259" s="4">
        <v>0</v>
      </c>
    </row>
    <row r="1260" spans="1:6" x14ac:dyDescent="0.35">
      <c r="A1260" s="2" t="s">
        <v>1724</v>
      </c>
      <c r="B1260" s="6" t="s">
        <v>1725</v>
      </c>
      <c r="C1260" s="2" t="s">
        <v>461</v>
      </c>
      <c r="D1260" s="4">
        <v>0.61951999999999996</v>
      </c>
      <c r="E1260" s="4">
        <v>0.41536000000000001</v>
      </c>
      <c r="F1260" s="4">
        <v>3.2000000000000002E-3</v>
      </c>
    </row>
    <row r="1261" spans="1:6" x14ac:dyDescent="0.35">
      <c r="A1261" s="2" t="s">
        <v>1726</v>
      </c>
      <c r="B1261" s="6" t="s">
        <v>1727</v>
      </c>
      <c r="C1261" s="2" t="s">
        <v>461</v>
      </c>
      <c r="D1261" s="4">
        <v>0.91839999999999999</v>
      </c>
      <c r="E1261" s="4">
        <v>0.73919999999999997</v>
      </c>
      <c r="F1261" s="4">
        <v>7.0400000000000003E-3</v>
      </c>
    </row>
    <row r="1262" spans="1:6" x14ac:dyDescent="0.35">
      <c r="A1262" s="2" t="s">
        <v>1728</v>
      </c>
      <c r="B1262" s="6" t="s">
        <v>1729</v>
      </c>
      <c r="C1262" s="2" t="s">
        <v>461</v>
      </c>
      <c r="D1262" s="4">
        <v>0.61599999999999999</v>
      </c>
      <c r="E1262" s="4">
        <v>0.42655999999999999</v>
      </c>
      <c r="F1262" s="4">
        <v>4.4799999999999996E-3</v>
      </c>
    </row>
    <row r="1263" spans="1:6" x14ac:dyDescent="0.35">
      <c r="A1263" s="2" t="s">
        <v>1730</v>
      </c>
      <c r="B1263" s="6" t="s">
        <v>1731</v>
      </c>
      <c r="C1263" s="2" t="s">
        <v>461</v>
      </c>
      <c r="D1263" s="4">
        <v>0.60255999999999998</v>
      </c>
      <c r="E1263" s="4">
        <v>0.41599999999999998</v>
      </c>
      <c r="F1263" s="4">
        <v>4.4799999999999996E-3</v>
      </c>
    </row>
    <row r="1264" spans="1:6" x14ac:dyDescent="0.35">
      <c r="A1264" s="2" t="s">
        <v>1732</v>
      </c>
      <c r="B1264" s="6" t="s">
        <v>1733</v>
      </c>
      <c r="C1264" s="2" t="s">
        <v>461</v>
      </c>
      <c r="D1264" s="4">
        <v>0.75039999999999996</v>
      </c>
      <c r="E1264" s="4">
        <v>0.46176</v>
      </c>
      <c r="F1264" s="4">
        <v>7.3600000000000002E-3</v>
      </c>
    </row>
    <row r="1265" spans="1:6" x14ac:dyDescent="0.35">
      <c r="A1265" s="2" t="s">
        <v>1734</v>
      </c>
      <c r="B1265" s="6" t="s">
        <v>1711</v>
      </c>
      <c r="C1265" s="2" t="s">
        <v>461</v>
      </c>
      <c r="D1265" s="4">
        <v>0.91071999999999997</v>
      </c>
      <c r="E1265" s="4">
        <v>0.73343999999999998</v>
      </c>
      <c r="F1265" s="4">
        <v>6.7200000000000003E-3</v>
      </c>
    </row>
    <row r="1266" spans="1:6" x14ac:dyDescent="0.35">
      <c r="A1266" s="2" t="s">
        <v>1735</v>
      </c>
      <c r="B1266" s="6" t="s">
        <v>1484</v>
      </c>
      <c r="C1266" s="2" t="s">
        <v>461</v>
      </c>
      <c r="D1266" s="4">
        <v>0.75039999999999996</v>
      </c>
      <c r="E1266" s="4">
        <v>0.46176</v>
      </c>
      <c r="F1266" s="4">
        <v>7.3600000000000002E-3</v>
      </c>
    </row>
    <row r="1267" spans="1:6" x14ac:dyDescent="0.35">
      <c r="A1267" s="2" t="s">
        <v>1736</v>
      </c>
      <c r="B1267" s="6" t="s">
        <v>1737</v>
      </c>
      <c r="C1267" s="2" t="s">
        <v>461</v>
      </c>
      <c r="D1267" s="4">
        <v>0.73407999999999995</v>
      </c>
      <c r="E1267" s="4">
        <v>0.58848</v>
      </c>
      <c r="F1267" s="4">
        <v>6.0800000000000003E-3</v>
      </c>
    </row>
    <row r="1268" spans="1:6" x14ac:dyDescent="0.35">
      <c r="A1268" s="2" t="s">
        <v>1738</v>
      </c>
      <c r="B1268" s="6" t="s">
        <v>1739</v>
      </c>
      <c r="C1268" s="2" t="s">
        <v>461</v>
      </c>
      <c r="D1268" s="4">
        <v>0.24063999999999999</v>
      </c>
      <c r="E1268" s="4">
        <v>-1.6959999999999999E-2</v>
      </c>
      <c r="F1268" s="4">
        <v>0</v>
      </c>
    </row>
    <row r="1269" spans="1:6" x14ac:dyDescent="0.35">
      <c r="A1269" s="2" t="s">
        <v>1740</v>
      </c>
      <c r="B1269" s="6" t="s">
        <v>1741</v>
      </c>
      <c r="C1269" s="2" t="s">
        <v>461</v>
      </c>
      <c r="D1269" s="4">
        <v>0.79168000000000005</v>
      </c>
      <c r="E1269" s="4">
        <v>0.61119999999999997</v>
      </c>
      <c r="F1269" s="4">
        <v>4.7999999999999996E-3</v>
      </c>
    </row>
    <row r="1270" spans="1:6" x14ac:dyDescent="0.35">
      <c r="A1270" s="2" t="s">
        <v>1742</v>
      </c>
      <c r="B1270" s="6" t="s">
        <v>1743</v>
      </c>
      <c r="C1270" s="2" t="s">
        <v>461</v>
      </c>
      <c r="D1270" s="4">
        <v>0.74175999999999997</v>
      </c>
      <c r="E1270" s="4">
        <v>0.57120000000000004</v>
      </c>
      <c r="F1270" s="4">
        <v>4.4799999999999996E-3</v>
      </c>
    </row>
    <row r="1271" spans="1:6" x14ac:dyDescent="0.35">
      <c r="A1271" s="2" t="s">
        <v>1744</v>
      </c>
      <c r="B1271" s="6" t="s">
        <v>1745</v>
      </c>
      <c r="C1271" s="2" t="s">
        <v>461</v>
      </c>
      <c r="D1271" s="4">
        <v>0.69952000000000003</v>
      </c>
      <c r="E1271" s="4">
        <v>0.53920000000000001</v>
      </c>
      <c r="F1271" s="4">
        <v>4.1599999999999996E-3</v>
      </c>
    </row>
    <row r="1272" spans="1:6" x14ac:dyDescent="0.35">
      <c r="A1272" s="2" t="s">
        <v>1746</v>
      </c>
      <c r="B1272" s="6" t="s">
        <v>1747</v>
      </c>
      <c r="C1272" s="2" t="s">
        <v>461</v>
      </c>
      <c r="D1272" s="4">
        <v>0.74624000000000001</v>
      </c>
      <c r="E1272" s="4">
        <v>0.57440000000000002</v>
      </c>
      <c r="F1272" s="4">
        <v>4.4799999999999996E-3</v>
      </c>
    </row>
    <row r="1273" spans="1:6" x14ac:dyDescent="0.35">
      <c r="A1273" s="2" t="s">
        <v>1748</v>
      </c>
      <c r="B1273" s="6" t="s">
        <v>1749</v>
      </c>
      <c r="C1273" s="2" t="s">
        <v>461</v>
      </c>
      <c r="D1273" s="4">
        <v>1.0643199999999999</v>
      </c>
      <c r="E1273" s="4">
        <v>0.91776000000000002</v>
      </c>
      <c r="F1273" s="4">
        <v>3.8400000000000001E-3</v>
      </c>
    </row>
    <row r="1274" spans="1:6" x14ac:dyDescent="0.35">
      <c r="A1274" s="2" t="s">
        <v>1750</v>
      </c>
      <c r="B1274" s="6" t="s">
        <v>1467</v>
      </c>
      <c r="C1274" s="2" t="s">
        <v>461</v>
      </c>
      <c r="D1274" s="4">
        <v>1.2236800000000001</v>
      </c>
      <c r="E1274" s="4">
        <v>1.0742400000000001</v>
      </c>
      <c r="F1274" s="4">
        <v>5.7600000000000004E-3</v>
      </c>
    </row>
    <row r="1275" spans="1:6" x14ac:dyDescent="0.35">
      <c r="A1275" s="2" t="s">
        <v>1751</v>
      </c>
      <c r="B1275" s="6" t="s">
        <v>1752</v>
      </c>
      <c r="C1275" s="2" t="s">
        <v>461</v>
      </c>
      <c r="D1275" s="4">
        <v>0.48703999999999997</v>
      </c>
      <c r="E1275" s="4">
        <v>0.26240000000000002</v>
      </c>
      <c r="F1275" s="4">
        <v>4.1599999999999996E-3</v>
      </c>
    </row>
    <row r="1276" spans="1:6" x14ac:dyDescent="0.35">
      <c r="A1276" s="2" t="s">
        <v>1753</v>
      </c>
      <c r="B1276" s="6" t="s">
        <v>1754</v>
      </c>
      <c r="C1276" s="2" t="s">
        <v>461</v>
      </c>
      <c r="D1276" s="4">
        <v>0.47232000000000002</v>
      </c>
      <c r="E1276" s="4">
        <v>0.25087999999999999</v>
      </c>
      <c r="F1276" s="4">
        <v>3.8400000000000001E-3</v>
      </c>
    </row>
    <row r="1277" spans="1:6" x14ac:dyDescent="0.35">
      <c r="A1277" s="2" t="s">
        <v>1755</v>
      </c>
      <c r="B1277" s="6" t="s">
        <v>1756</v>
      </c>
      <c r="C1277" s="2" t="s">
        <v>461</v>
      </c>
      <c r="D1277" s="4">
        <v>0.5232</v>
      </c>
      <c r="E1277" s="4">
        <v>0.36512</v>
      </c>
      <c r="F1277" s="4">
        <v>2.8800000000000002E-3</v>
      </c>
    </row>
    <row r="1278" spans="1:6" x14ac:dyDescent="0.35">
      <c r="A1278" s="2" t="s">
        <v>1757</v>
      </c>
      <c r="B1278" s="6" t="s">
        <v>1758</v>
      </c>
      <c r="C1278" s="2" t="s">
        <v>461</v>
      </c>
      <c r="D1278" s="4">
        <v>0.61216000000000004</v>
      </c>
      <c r="E1278" s="4">
        <v>0.45760000000000001</v>
      </c>
      <c r="F1278" s="4">
        <v>2.8800000000000002E-3</v>
      </c>
    </row>
    <row r="1279" spans="1:6" x14ac:dyDescent="0.35">
      <c r="A1279" s="2" t="s">
        <v>1759</v>
      </c>
      <c r="B1279" s="6" t="s">
        <v>1760</v>
      </c>
      <c r="C1279" s="2" t="s">
        <v>461</v>
      </c>
      <c r="D1279" s="4">
        <v>0.57887999999999995</v>
      </c>
      <c r="E1279" s="4">
        <v>0.41727999999999998</v>
      </c>
      <c r="F1279" s="4">
        <v>2.8800000000000002E-3</v>
      </c>
    </row>
    <row r="1280" spans="1:6" x14ac:dyDescent="0.35">
      <c r="A1280" s="2" t="s">
        <v>1761</v>
      </c>
      <c r="B1280" s="6" t="s">
        <v>1758</v>
      </c>
      <c r="C1280" s="2" t="s">
        <v>461</v>
      </c>
      <c r="D1280" s="4">
        <v>0.62207999999999997</v>
      </c>
      <c r="E1280" s="4">
        <v>0.46528000000000003</v>
      </c>
      <c r="F1280" s="4">
        <v>2.8800000000000002E-3</v>
      </c>
    </row>
    <row r="1281" spans="1:6" x14ac:dyDescent="0.35">
      <c r="A1281" s="2" t="s">
        <v>1762</v>
      </c>
      <c r="B1281" s="6" t="s">
        <v>1763</v>
      </c>
      <c r="C1281" s="2" t="s">
        <v>461</v>
      </c>
      <c r="D1281" s="4">
        <v>0.55967999999999996</v>
      </c>
      <c r="E1281" s="4">
        <v>0.4032</v>
      </c>
      <c r="F1281" s="4">
        <v>2.5600000000000002E-3</v>
      </c>
    </row>
    <row r="1282" spans="1:6" x14ac:dyDescent="0.35">
      <c r="A1282" s="2" t="s">
        <v>1764</v>
      </c>
      <c r="B1282" s="6" t="s">
        <v>1467</v>
      </c>
      <c r="C1282" s="2" t="s">
        <v>461</v>
      </c>
      <c r="D1282" s="4">
        <v>0.97855999999999999</v>
      </c>
      <c r="E1282" s="4">
        <v>0.82047999999999999</v>
      </c>
      <c r="F1282" s="4">
        <v>4.7999999999999996E-3</v>
      </c>
    </row>
    <row r="1283" spans="1:6" x14ac:dyDescent="0.35">
      <c r="A1283" s="2" t="s">
        <v>1765</v>
      </c>
      <c r="B1283" s="6" t="s">
        <v>1766</v>
      </c>
      <c r="C1283" s="2" t="s">
        <v>461</v>
      </c>
      <c r="D1283" s="4">
        <v>0.90495999999999999</v>
      </c>
      <c r="E1283" s="4">
        <v>0.76063999999999998</v>
      </c>
      <c r="F1283" s="4">
        <v>4.1599999999999996E-3</v>
      </c>
    </row>
    <row r="1284" spans="1:6" x14ac:dyDescent="0.35">
      <c r="A1284" s="2" t="s">
        <v>1767</v>
      </c>
      <c r="B1284" s="6" t="s">
        <v>1467</v>
      </c>
      <c r="C1284" s="2" t="s">
        <v>461</v>
      </c>
      <c r="D1284" s="4">
        <v>0.94335999999999998</v>
      </c>
      <c r="E1284" s="4">
        <v>0.77824000000000004</v>
      </c>
      <c r="F1284" s="4">
        <v>4.4799999999999996E-3</v>
      </c>
    </row>
    <row r="1285" spans="1:6" x14ac:dyDescent="0.35">
      <c r="A1285" s="2" t="s">
        <v>1768</v>
      </c>
      <c r="B1285" s="6" t="s">
        <v>1769</v>
      </c>
      <c r="C1285" s="2" t="s">
        <v>461</v>
      </c>
      <c r="D1285" s="4">
        <v>1.0099199999999999</v>
      </c>
      <c r="E1285" s="4">
        <v>0.86560000000000004</v>
      </c>
      <c r="F1285" s="4">
        <v>4.1599999999999996E-3</v>
      </c>
    </row>
    <row r="1286" spans="1:6" x14ac:dyDescent="0.35">
      <c r="A1286" s="2" t="s">
        <v>1770</v>
      </c>
      <c r="B1286" s="6" t="s">
        <v>1771</v>
      </c>
      <c r="C1286" s="2" t="s">
        <v>461</v>
      </c>
      <c r="D1286" s="4">
        <v>0.95423999999999998</v>
      </c>
      <c r="E1286" s="4">
        <v>0.87871999999999995</v>
      </c>
      <c r="F1286" s="4">
        <v>4.1599999999999996E-3</v>
      </c>
    </row>
    <row r="1287" spans="1:6" x14ac:dyDescent="0.35">
      <c r="A1287" s="2" t="s">
        <v>1772</v>
      </c>
      <c r="B1287" s="6" t="s">
        <v>1769</v>
      </c>
      <c r="C1287" s="2" t="s">
        <v>461</v>
      </c>
      <c r="D1287" s="4">
        <v>0.94367999999999996</v>
      </c>
      <c r="E1287" s="4">
        <v>0.79871999999999999</v>
      </c>
      <c r="F1287" s="4">
        <v>4.7999999999999996E-3</v>
      </c>
    </row>
    <row r="1288" spans="1:6" x14ac:dyDescent="0.35">
      <c r="A1288" s="2" t="s">
        <v>1773</v>
      </c>
      <c r="B1288" s="6" t="s">
        <v>1774</v>
      </c>
      <c r="C1288" s="2" t="s">
        <v>461</v>
      </c>
      <c r="D1288" s="4">
        <v>0.7712</v>
      </c>
      <c r="E1288" s="4">
        <v>0.62656000000000001</v>
      </c>
      <c r="F1288" s="4">
        <v>2.5600000000000002E-3</v>
      </c>
    </row>
    <row r="1289" spans="1:6" x14ac:dyDescent="0.35">
      <c r="A1289" s="2" t="s">
        <v>1775</v>
      </c>
      <c r="B1289" s="6" t="s">
        <v>1769</v>
      </c>
      <c r="C1289" s="2" t="s">
        <v>461</v>
      </c>
      <c r="D1289" s="4">
        <v>0.94367999999999996</v>
      </c>
      <c r="E1289" s="4">
        <v>0.79871999999999999</v>
      </c>
      <c r="F1289" s="4">
        <v>4.7999999999999996E-3</v>
      </c>
    </row>
    <row r="1290" spans="1:6" x14ac:dyDescent="0.35">
      <c r="A1290" s="2" t="s">
        <v>1776</v>
      </c>
      <c r="B1290" s="6" t="s">
        <v>1771</v>
      </c>
      <c r="C1290" s="2" t="s">
        <v>461</v>
      </c>
      <c r="D1290" s="4">
        <v>0.93952000000000002</v>
      </c>
      <c r="E1290" s="4">
        <v>0.78527999999999998</v>
      </c>
      <c r="F1290" s="4">
        <v>9.92E-3</v>
      </c>
    </row>
    <row r="1291" spans="1:6" x14ac:dyDescent="0.35">
      <c r="A1291" s="2" t="s">
        <v>1777</v>
      </c>
      <c r="B1291" s="6" t="s">
        <v>1771</v>
      </c>
      <c r="C1291" s="2" t="s">
        <v>461</v>
      </c>
      <c r="D1291" s="4">
        <v>0.89312000000000002</v>
      </c>
      <c r="E1291" s="4">
        <v>0.81632000000000005</v>
      </c>
      <c r="F1291" s="4">
        <v>4.7999999999999996E-3</v>
      </c>
    </row>
    <row r="1292" spans="1:6" x14ac:dyDescent="0.35">
      <c r="A1292" s="2" t="s">
        <v>1778</v>
      </c>
      <c r="B1292" s="6" t="s">
        <v>1779</v>
      </c>
      <c r="C1292" s="2" t="s">
        <v>461</v>
      </c>
      <c r="D1292" s="4">
        <v>0.74495999999999996</v>
      </c>
      <c r="E1292" s="4">
        <v>0.59455999999999998</v>
      </c>
      <c r="F1292" s="4">
        <v>2.5600000000000002E-3</v>
      </c>
    </row>
    <row r="1293" spans="1:6" x14ac:dyDescent="0.35">
      <c r="A1293" s="2" t="s">
        <v>1780</v>
      </c>
      <c r="B1293" s="6" t="s">
        <v>1781</v>
      </c>
      <c r="C1293" s="2" t="s">
        <v>461</v>
      </c>
      <c r="D1293" s="4">
        <v>0.67615999999999998</v>
      </c>
      <c r="E1293" s="4">
        <v>0.59616000000000002</v>
      </c>
      <c r="F1293" s="4">
        <v>2.5600000000000002E-3</v>
      </c>
    </row>
    <row r="1294" spans="1:6" x14ac:dyDescent="0.35">
      <c r="A1294" s="2" t="s">
        <v>1782</v>
      </c>
      <c r="B1294" s="6" t="s">
        <v>1783</v>
      </c>
      <c r="C1294" s="2" t="s">
        <v>461</v>
      </c>
      <c r="D1294" s="4">
        <v>0.75968000000000002</v>
      </c>
      <c r="E1294" s="4">
        <v>0.61216000000000004</v>
      </c>
      <c r="F1294" s="4">
        <v>2.5600000000000002E-3</v>
      </c>
    </row>
    <row r="1295" spans="1:6" x14ac:dyDescent="0.35">
      <c r="A1295" s="2" t="s">
        <v>1784</v>
      </c>
      <c r="B1295" s="6" t="s">
        <v>1785</v>
      </c>
      <c r="C1295" s="2" t="s">
        <v>461</v>
      </c>
      <c r="D1295" s="4">
        <v>0.72896000000000005</v>
      </c>
      <c r="E1295" s="4">
        <v>0.61504000000000003</v>
      </c>
      <c r="F1295" s="4">
        <v>2.5600000000000002E-3</v>
      </c>
    </row>
    <row r="1296" spans="1:6" x14ac:dyDescent="0.35">
      <c r="A1296" s="2" t="s">
        <v>1786</v>
      </c>
      <c r="B1296" s="6" t="s">
        <v>1787</v>
      </c>
      <c r="C1296" s="2" t="s">
        <v>461</v>
      </c>
      <c r="D1296" s="4">
        <v>0.96928000000000003</v>
      </c>
      <c r="E1296" s="4">
        <v>0.82143999999999995</v>
      </c>
      <c r="F1296" s="4">
        <v>5.1200000000000004E-3</v>
      </c>
    </row>
    <row r="1297" spans="1:6" x14ac:dyDescent="0.35">
      <c r="A1297" s="2" t="s">
        <v>1788</v>
      </c>
      <c r="B1297" s="6" t="s">
        <v>1789</v>
      </c>
      <c r="C1297" s="2" t="s">
        <v>461</v>
      </c>
      <c r="D1297" s="4">
        <v>0.61631999999999998</v>
      </c>
      <c r="E1297" s="4">
        <v>0.50304000000000004</v>
      </c>
      <c r="F1297" s="4">
        <v>2.5600000000000002E-3</v>
      </c>
    </row>
    <row r="1298" spans="1:6" x14ac:dyDescent="0.35">
      <c r="A1298" s="2" t="s">
        <v>1790</v>
      </c>
      <c r="B1298" s="6" t="s">
        <v>1467</v>
      </c>
      <c r="C1298" s="2" t="s">
        <v>461</v>
      </c>
      <c r="D1298" s="4">
        <v>0.98560000000000003</v>
      </c>
      <c r="E1298" s="4">
        <v>0.81567999999999996</v>
      </c>
      <c r="F1298" s="4">
        <v>4.7999999999999996E-3</v>
      </c>
    </row>
    <row r="1299" spans="1:6" x14ac:dyDescent="0.35">
      <c r="A1299" s="2" t="s">
        <v>1791</v>
      </c>
      <c r="B1299" s="6" t="s">
        <v>1766</v>
      </c>
      <c r="C1299" s="2" t="s">
        <v>461</v>
      </c>
      <c r="D1299" s="4">
        <v>0.93855999999999995</v>
      </c>
      <c r="E1299" s="4">
        <v>0.77376</v>
      </c>
      <c r="F1299" s="4">
        <v>4.4799999999999996E-3</v>
      </c>
    </row>
    <row r="1300" spans="1:6" x14ac:dyDescent="0.35">
      <c r="A1300" s="2" t="s">
        <v>1792</v>
      </c>
      <c r="B1300" s="6" t="e">
        <v>#N/A</v>
      </c>
      <c r="C1300" s="2" t="e">
        <v>#N/A</v>
      </c>
      <c r="D1300" s="4">
        <v>0.95167999999999997</v>
      </c>
      <c r="E1300" s="4">
        <v>0.78656000000000004</v>
      </c>
      <c r="F1300" s="4">
        <v>4.4799999999999996E-3</v>
      </c>
    </row>
    <row r="1301" spans="1:6" x14ac:dyDescent="0.35">
      <c r="A1301" s="2" t="s">
        <v>1793</v>
      </c>
      <c r="B1301" s="6" t="s">
        <v>1794</v>
      </c>
      <c r="C1301" s="2" t="s">
        <v>461</v>
      </c>
      <c r="D1301" s="4">
        <v>0.94335999999999998</v>
      </c>
      <c r="E1301" s="4">
        <v>0.7984</v>
      </c>
      <c r="F1301" s="4">
        <v>4.7999999999999996E-3</v>
      </c>
    </row>
    <row r="1302" spans="1:6" x14ac:dyDescent="0.35">
      <c r="A1302" s="2" t="s">
        <v>1795</v>
      </c>
      <c r="B1302" s="6" t="e">
        <v>#N/A</v>
      </c>
      <c r="C1302" s="2" t="e">
        <v>#N/A</v>
      </c>
      <c r="D1302" s="4">
        <v>0.98528000000000004</v>
      </c>
      <c r="E1302" s="4">
        <v>0.81535999999999997</v>
      </c>
      <c r="F1302" s="4">
        <v>4.7999999999999996E-3</v>
      </c>
    </row>
    <row r="1303" spans="1:6" x14ac:dyDescent="0.35">
      <c r="A1303" s="2" t="s">
        <v>1796</v>
      </c>
      <c r="B1303" s="6" t="e">
        <v>#N/A</v>
      </c>
      <c r="C1303" s="2" t="e">
        <v>#N/A</v>
      </c>
      <c r="D1303" s="4">
        <v>0.90976000000000001</v>
      </c>
      <c r="E1303" s="4">
        <v>0.76480000000000004</v>
      </c>
      <c r="F1303" s="4">
        <v>4.4799999999999996E-3</v>
      </c>
    </row>
    <row r="1304" spans="1:6" x14ac:dyDescent="0.35">
      <c r="A1304" s="2" t="s">
        <v>1797</v>
      </c>
      <c r="B1304" s="6" t="s">
        <v>1798</v>
      </c>
      <c r="C1304" s="2" t="s">
        <v>461</v>
      </c>
      <c r="D1304" s="4">
        <v>0.83360000000000001</v>
      </c>
      <c r="E1304" s="4">
        <v>0.65664</v>
      </c>
      <c r="F1304" s="4">
        <v>3.5200000000000001E-3</v>
      </c>
    </row>
    <row r="1305" spans="1:6" x14ac:dyDescent="0.35">
      <c r="A1305" s="2" t="s">
        <v>1799</v>
      </c>
      <c r="B1305" s="6" t="s">
        <v>1798</v>
      </c>
      <c r="C1305" s="2" t="s">
        <v>461</v>
      </c>
      <c r="D1305" s="4">
        <v>0.8256</v>
      </c>
      <c r="E1305" s="4">
        <v>0.63424000000000003</v>
      </c>
      <c r="F1305" s="4">
        <v>9.92E-3</v>
      </c>
    </row>
    <row r="1306" spans="1:6" x14ac:dyDescent="0.35">
      <c r="A1306" s="2" t="s">
        <v>1800</v>
      </c>
      <c r="B1306" s="6" t="s">
        <v>1798</v>
      </c>
      <c r="C1306" s="2" t="s">
        <v>461</v>
      </c>
      <c r="D1306" s="4">
        <v>0.95264000000000004</v>
      </c>
      <c r="E1306" s="4">
        <v>0.80576000000000003</v>
      </c>
      <c r="F1306" s="4">
        <v>4.1599999999999996E-3</v>
      </c>
    </row>
    <row r="1307" spans="1:6" x14ac:dyDescent="0.35">
      <c r="A1307" s="2" t="s">
        <v>1801</v>
      </c>
      <c r="B1307" s="6" t="s">
        <v>1802</v>
      </c>
      <c r="C1307" s="2" t="s">
        <v>461</v>
      </c>
      <c r="D1307" s="4">
        <v>0.77151999999999998</v>
      </c>
      <c r="E1307" s="4">
        <v>0.63007999999999997</v>
      </c>
      <c r="F1307" s="4">
        <v>3.5200000000000001E-3</v>
      </c>
    </row>
    <row r="1308" spans="1:6" x14ac:dyDescent="0.35">
      <c r="A1308" s="2" t="s">
        <v>1803</v>
      </c>
      <c r="B1308" s="6" t="s">
        <v>1802</v>
      </c>
      <c r="C1308" s="2" t="s">
        <v>461</v>
      </c>
      <c r="D1308" s="4">
        <v>0.77151999999999998</v>
      </c>
      <c r="E1308" s="4">
        <v>0.63007999999999997</v>
      </c>
      <c r="F1308" s="4">
        <v>3.5200000000000001E-3</v>
      </c>
    </row>
    <row r="1309" spans="1:6" x14ac:dyDescent="0.35">
      <c r="A1309" s="2" t="s">
        <v>1804</v>
      </c>
      <c r="B1309" s="6" t="s">
        <v>1802</v>
      </c>
      <c r="C1309" s="2" t="s">
        <v>461</v>
      </c>
      <c r="D1309" s="4">
        <v>0.87168000000000001</v>
      </c>
      <c r="E1309" s="4">
        <v>0.75744</v>
      </c>
      <c r="F1309" s="4">
        <v>2.8800000000000002E-3</v>
      </c>
    </row>
    <row r="1310" spans="1:6" x14ac:dyDescent="0.35">
      <c r="A1310" s="2" t="s">
        <v>1805</v>
      </c>
      <c r="B1310" s="6" t="s">
        <v>1806</v>
      </c>
      <c r="C1310" s="2" t="s">
        <v>461</v>
      </c>
      <c r="D1310" s="4">
        <v>0.94335999999999998</v>
      </c>
      <c r="E1310" s="4">
        <v>0.83423999999999998</v>
      </c>
      <c r="F1310" s="4">
        <v>1.4080000000000001E-2</v>
      </c>
    </row>
    <row r="1311" spans="1:6" x14ac:dyDescent="0.35">
      <c r="A1311" s="2" t="s">
        <v>1807</v>
      </c>
      <c r="B1311" s="6" t="s">
        <v>1808</v>
      </c>
      <c r="C1311" s="2" t="s">
        <v>461</v>
      </c>
      <c r="D1311" s="4">
        <v>0.38624000000000003</v>
      </c>
      <c r="E1311" s="4">
        <v>0.24415999999999999</v>
      </c>
      <c r="F1311" s="4">
        <v>1.6000000000000001E-3</v>
      </c>
    </row>
    <row r="1312" spans="1:6" x14ac:dyDescent="0.35">
      <c r="A1312" s="2" t="s">
        <v>1809</v>
      </c>
      <c r="B1312" s="6" t="s">
        <v>1810</v>
      </c>
      <c r="C1312" s="2" t="s">
        <v>461</v>
      </c>
      <c r="D1312" s="4">
        <v>0.38624000000000003</v>
      </c>
      <c r="E1312" s="4">
        <v>0.24415999999999999</v>
      </c>
      <c r="F1312" s="4">
        <v>1.6000000000000001E-3</v>
      </c>
    </row>
    <row r="1313" spans="1:6" x14ac:dyDescent="0.35">
      <c r="A1313" s="2" t="s">
        <v>1811</v>
      </c>
      <c r="B1313" s="6" t="s">
        <v>1812</v>
      </c>
      <c r="C1313" s="2" t="s">
        <v>461</v>
      </c>
      <c r="D1313" s="4">
        <v>1.0416000000000001</v>
      </c>
      <c r="E1313" s="4">
        <v>0.89471999999999996</v>
      </c>
      <c r="F1313" s="4">
        <v>4.1599999999999996E-3</v>
      </c>
    </row>
    <row r="1314" spans="1:6" x14ac:dyDescent="0.35">
      <c r="A1314" s="2" t="s">
        <v>1813</v>
      </c>
      <c r="B1314" s="6" t="s">
        <v>1814</v>
      </c>
      <c r="C1314" s="2" t="s">
        <v>461</v>
      </c>
      <c r="D1314" s="4">
        <v>0.38624000000000003</v>
      </c>
      <c r="E1314" s="4">
        <v>0.24415999999999999</v>
      </c>
      <c r="F1314" s="4">
        <v>1.6000000000000001E-3</v>
      </c>
    </row>
    <row r="1315" spans="1:6" x14ac:dyDescent="0.35">
      <c r="A1315" s="2" t="s">
        <v>1815</v>
      </c>
      <c r="B1315" s="6" t="s">
        <v>1816</v>
      </c>
      <c r="C1315" s="2" t="s">
        <v>461</v>
      </c>
      <c r="D1315" s="4">
        <v>0.38624000000000003</v>
      </c>
      <c r="E1315" s="4">
        <v>0.24415999999999999</v>
      </c>
      <c r="F1315" s="4">
        <v>1.6000000000000001E-3</v>
      </c>
    </row>
    <row r="1316" spans="1:6" x14ac:dyDescent="0.35">
      <c r="A1316" s="2" t="s">
        <v>1817</v>
      </c>
      <c r="B1316" s="6" t="s">
        <v>1818</v>
      </c>
      <c r="C1316" s="2" t="s">
        <v>461</v>
      </c>
      <c r="D1316" s="4">
        <v>0.38624000000000003</v>
      </c>
      <c r="E1316" s="4">
        <v>0.24415999999999999</v>
      </c>
      <c r="F1316" s="4">
        <v>1.6000000000000001E-3</v>
      </c>
    </row>
    <row r="1317" spans="1:6" x14ac:dyDescent="0.35">
      <c r="A1317" s="2" t="s">
        <v>1819</v>
      </c>
      <c r="B1317" s="6" t="s">
        <v>1820</v>
      </c>
      <c r="C1317" s="2" t="s">
        <v>461</v>
      </c>
      <c r="D1317" s="4">
        <v>0.97311999999999999</v>
      </c>
      <c r="E1317" s="4">
        <v>0.85855999999999999</v>
      </c>
      <c r="F1317" s="4">
        <v>3.2000000000000002E-3</v>
      </c>
    </row>
    <row r="1318" spans="1:6" x14ac:dyDescent="0.35">
      <c r="A1318" s="2" t="s">
        <v>1821</v>
      </c>
      <c r="B1318" s="6" t="s">
        <v>1822</v>
      </c>
      <c r="C1318" s="2" t="s">
        <v>461</v>
      </c>
      <c r="D1318" s="4">
        <v>1.0476799999999999</v>
      </c>
      <c r="E1318" s="4">
        <v>0.90080000000000005</v>
      </c>
      <c r="F1318" s="4">
        <v>4.1599999999999996E-3</v>
      </c>
    </row>
    <row r="1319" spans="1:6" x14ac:dyDescent="0.35">
      <c r="A1319" s="2" t="s">
        <v>1823</v>
      </c>
      <c r="B1319" s="6" t="s">
        <v>1824</v>
      </c>
      <c r="C1319" s="2" t="s">
        <v>461</v>
      </c>
      <c r="D1319" s="4">
        <v>1.0524800000000001</v>
      </c>
      <c r="E1319" s="4">
        <v>0.90527999999999997</v>
      </c>
      <c r="F1319" s="4">
        <v>4.4799999999999996E-3</v>
      </c>
    </row>
    <row r="1320" spans="1:6" x14ac:dyDescent="0.35">
      <c r="A1320" s="2" t="s">
        <v>1825</v>
      </c>
      <c r="B1320" s="6" t="s">
        <v>1826</v>
      </c>
      <c r="C1320" s="2" t="s">
        <v>461</v>
      </c>
      <c r="D1320" s="4">
        <v>0.97023999999999999</v>
      </c>
      <c r="E1320" s="4">
        <v>0.89471999999999996</v>
      </c>
      <c r="F1320" s="4">
        <v>4.1599999999999996E-3</v>
      </c>
    </row>
    <row r="1321" spans="1:6" x14ac:dyDescent="0.35">
      <c r="A1321" s="2" t="s">
        <v>1827</v>
      </c>
      <c r="B1321" s="6" t="s">
        <v>1812</v>
      </c>
      <c r="C1321" s="2" t="s">
        <v>461</v>
      </c>
      <c r="D1321" s="4">
        <v>0.97407999999999995</v>
      </c>
      <c r="E1321" s="4">
        <v>0.82655999999999996</v>
      </c>
      <c r="F1321" s="4">
        <v>4.7999999999999996E-3</v>
      </c>
    </row>
    <row r="1322" spans="1:6" x14ac:dyDescent="0.35">
      <c r="A1322" s="2" t="s">
        <v>1828</v>
      </c>
      <c r="B1322" s="6" t="e">
        <v>#N/A</v>
      </c>
      <c r="C1322" s="2" t="e">
        <v>#N/A</v>
      </c>
      <c r="D1322" s="4">
        <v>0.99424000000000001</v>
      </c>
      <c r="E1322" s="4">
        <v>0.82943999999999996</v>
      </c>
      <c r="F1322" s="4">
        <v>4.4799999999999996E-3</v>
      </c>
    </row>
    <row r="1323" spans="1:6" x14ac:dyDescent="0.35">
      <c r="A1323" s="2" t="s">
        <v>1829</v>
      </c>
      <c r="B1323" s="6" t="s">
        <v>1484</v>
      </c>
      <c r="C1323" s="2" t="s">
        <v>461</v>
      </c>
      <c r="D1323" s="4">
        <v>0.90495999999999999</v>
      </c>
      <c r="E1323" s="4">
        <v>0.76063999999999998</v>
      </c>
      <c r="F1323" s="4">
        <v>4.1599999999999996E-3</v>
      </c>
    </row>
    <row r="1324" spans="1:6" x14ac:dyDescent="0.35">
      <c r="A1324" s="2" t="s">
        <v>1830</v>
      </c>
      <c r="B1324" s="6" t="s">
        <v>1484</v>
      </c>
      <c r="C1324" s="2" t="s">
        <v>461</v>
      </c>
      <c r="D1324" s="4">
        <v>0.90495999999999999</v>
      </c>
      <c r="E1324" s="4">
        <v>0.76063999999999998</v>
      </c>
      <c r="F1324" s="4">
        <v>4.1599999999999996E-3</v>
      </c>
    </row>
    <row r="1325" spans="1:6" x14ac:dyDescent="0.35">
      <c r="A1325" s="2" t="s">
        <v>1831</v>
      </c>
      <c r="B1325" s="6" t="e">
        <v>#N/A</v>
      </c>
      <c r="C1325" s="2" t="e">
        <v>#N/A</v>
      </c>
      <c r="D1325" s="4">
        <v>0.90495999999999999</v>
      </c>
      <c r="E1325" s="4">
        <v>0.76063999999999998</v>
      </c>
      <c r="F1325" s="4">
        <v>4.1599999999999996E-3</v>
      </c>
    </row>
    <row r="1326" spans="1:6" x14ac:dyDescent="0.35">
      <c r="A1326" s="2" t="s">
        <v>1832</v>
      </c>
      <c r="B1326" s="6" t="s">
        <v>1833</v>
      </c>
      <c r="C1326" s="2" t="s">
        <v>461</v>
      </c>
      <c r="D1326" s="4">
        <v>0.67647999999999997</v>
      </c>
      <c r="E1326" s="4">
        <v>0.48224</v>
      </c>
      <c r="F1326" s="4">
        <v>3.2000000000000002E-3</v>
      </c>
    </row>
    <row r="1327" spans="1:6" x14ac:dyDescent="0.35">
      <c r="A1327" s="2" t="s">
        <v>1834</v>
      </c>
      <c r="B1327" s="6" t="s">
        <v>1467</v>
      </c>
      <c r="C1327" s="2" t="s">
        <v>461</v>
      </c>
      <c r="D1327" s="4">
        <v>0.60096000000000005</v>
      </c>
      <c r="E1327" s="4">
        <v>0.45119999999999999</v>
      </c>
      <c r="F1327" s="4">
        <v>3.5200000000000001E-3</v>
      </c>
    </row>
    <row r="1328" spans="1:6" x14ac:dyDescent="0.35">
      <c r="A1328" s="2" t="s">
        <v>1835</v>
      </c>
      <c r="B1328" s="6" t="e">
        <v>#N/A</v>
      </c>
      <c r="C1328" s="2" t="e">
        <v>#N/A</v>
      </c>
      <c r="D1328" s="4">
        <v>0.52447999999999995</v>
      </c>
      <c r="E1328" s="4">
        <v>0.29824000000000001</v>
      </c>
      <c r="F1328" s="4">
        <v>4.4799999999999996E-3</v>
      </c>
    </row>
    <row r="1329" spans="1:6" x14ac:dyDescent="0.35">
      <c r="A1329" s="2" t="s">
        <v>1836</v>
      </c>
      <c r="B1329" s="6" t="e">
        <v>#N/A</v>
      </c>
      <c r="C1329" s="2" t="e">
        <v>#N/A</v>
      </c>
      <c r="D1329" s="4">
        <v>0.60255999999999998</v>
      </c>
      <c r="E1329" s="4">
        <v>0.35552</v>
      </c>
      <c r="F1329" s="4">
        <v>5.1200000000000004E-3</v>
      </c>
    </row>
    <row r="1330" spans="1:6" x14ac:dyDescent="0.35">
      <c r="A1330" s="2" t="s">
        <v>1837</v>
      </c>
      <c r="B1330" s="6" t="s">
        <v>1838</v>
      </c>
      <c r="C1330" s="2" t="s">
        <v>461</v>
      </c>
      <c r="D1330" s="4">
        <v>0.59263999999999994</v>
      </c>
      <c r="E1330" s="4">
        <v>0.43647999999999998</v>
      </c>
      <c r="F1330" s="4">
        <v>3.5200000000000001E-3</v>
      </c>
    </row>
    <row r="1331" spans="1:6" x14ac:dyDescent="0.35">
      <c r="A1331" s="2" t="s">
        <v>1839</v>
      </c>
      <c r="B1331" s="6" t="s">
        <v>1840</v>
      </c>
      <c r="C1331" s="2" t="s">
        <v>461</v>
      </c>
      <c r="D1331" s="4">
        <v>0.59743999999999997</v>
      </c>
      <c r="E1331" s="4">
        <v>0.43968000000000002</v>
      </c>
      <c r="F1331" s="4">
        <v>3.5200000000000001E-3</v>
      </c>
    </row>
    <row r="1332" spans="1:6" x14ac:dyDescent="0.35">
      <c r="A1332" s="2" t="s">
        <v>1841</v>
      </c>
      <c r="B1332" s="6" t="s">
        <v>1838</v>
      </c>
      <c r="C1332" s="2" t="s">
        <v>461</v>
      </c>
      <c r="D1332" s="4">
        <v>0.59743999999999997</v>
      </c>
      <c r="E1332" s="4">
        <v>0.43968000000000002</v>
      </c>
      <c r="F1332" s="4">
        <v>3.5200000000000001E-3</v>
      </c>
    </row>
    <row r="1333" spans="1:6" x14ac:dyDescent="0.35">
      <c r="A1333" s="2" t="s">
        <v>1842</v>
      </c>
      <c r="B1333" s="6" t="s">
        <v>1843</v>
      </c>
      <c r="C1333" s="2" t="s">
        <v>461</v>
      </c>
      <c r="D1333" s="4">
        <v>0.61343999999999999</v>
      </c>
      <c r="E1333" s="4">
        <v>0.44256000000000001</v>
      </c>
      <c r="F1333" s="4">
        <v>3.8400000000000001E-3</v>
      </c>
    </row>
    <row r="1334" spans="1:6" x14ac:dyDescent="0.35">
      <c r="A1334" s="2" t="s">
        <v>1844</v>
      </c>
      <c r="B1334" s="6" t="s">
        <v>1845</v>
      </c>
      <c r="C1334" s="2" t="s">
        <v>461</v>
      </c>
      <c r="D1334" s="4">
        <v>0.55711999999999995</v>
      </c>
      <c r="E1334" s="4">
        <v>0.25344</v>
      </c>
      <c r="F1334" s="4">
        <v>4.1599999999999996E-3</v>
      </c>
    </row>
    <row r="1335" spans="1:6" x14ac:dyDescent="0.35">
      <c r="A1335" s="2" t="s">
        <v>1846</v>
      </c>
      <c r="B1335" s="6" t="e">
        <v>#N/A</v>
      </c>
      <c r="C1335" s="2" t="e">
        <v>#N/A</v>
      </c>
      <c r="D1335" s="4">
        <v>0.52768000000000004</v>
      </c>
      <c r="E1335" s="4">
        <v>0.27776000000000001</v>
      </c>
      <c r="F1335" s="4">
        <v>4.4799999999999996E-3</v>
      </c>
    </row>
    <row r="1336" spans="1:6" x14ac:dyDescent="0.35">
      <c r="A1336" s="2" t="s">
        <v>1847</v>
      </c>
      <c r="B1336" s="6" t="e">
        <v>#N/A</v>
      </c>
      <c r="C1336" s="2" t="e">
        <v>#N/A</v>
      </c>
      <c r="D1336" s="4">
        <v>0.57952000000000004</v>
      </c>
      <c r="E1336" s="4">
        <v>0.43584000000000001</v>
      </c>
      <c r="F1336" s="4">
        <v>3.5200000000000001E-3</v>
      </c>
    </row>
    <row r="1337" spans="1:6" x14ac:dyDescent="0.35">
      <c r="A1337" s="2" t="s">
        <v>1848</v>
      </c>
      <c r="B1337" s="6" t="s">
        <v>1849</v>
      </c>
      <c r="C1337" s="2" t="s">
        <v>461</v>
      </c>
      <c r="D1337" s="4">
        <v>0.59040000000000004</v>
      </c>
      <c r="E1337" s="4">
        <v>0.41471999999999998</v>
      </c>
      <c r="F1337" s="4">
        <v>7.3600000000000002E-3</v>
      </c>
    </row>
    <row r="1338" spans="1:6" x14ac:dyDescent="0.35">
      <c r="A1338" s="2" t="s">
        <v>1850</v>
      </c>
      <c r="B1338" s="6" t="s">
        <v>1851</v>
      </c>
      <c r="C1338" s="2" t="s">
        <v>461</v>
      </c>
      <c r="D1338" s="4">
        <v>0.52991999999999995</v>
      </c>
      <c r="E1338" s="4">
        <v>0.37247999999999998</v>
      </c>
      <c r="F1338" s="4">
        <v>4.1599999999999996E-3</v>
      </c>
    </row>
    <row r="1339" spans="1:6" x14ac:dyDescent="0.35">
      <c r="A1339" s="2" t="s">
        <v>1852</v>
      </c>
      <c r="B1339" s="6" t="s">
        <v>1853</v>
      </c>
      <c r="C1339" s="2" t="s">
        <v>461</v>
      </c>
      <c r="D1339" s="4">
        <v>0.58911999999999998</v>
      </c>
      <c r="E1339" s="4">
        <v>0.43424000000000001</v>
      </c>
      <c r="F1339" s="4">
        <v>3.5200000000000001E-3</v>
      </c>
    </row>
    <row r="1340" spans="1:6" x14ac:dyDescent="0.35">
      <c r="A1340" s="2" t="s">
        <v>1854</v>
      </c>
      <c r="B1340" s="6" t="s">
        <v>1855</v>
      </c>
      <c r="C1340" s="2" t="s">
        <v>461</v>
      </c>
      <c r="D1340" s="4">
        <v>0.58208000000000004</v>
      </c>
      <c r="E1340" s="4">
        <v>0.42399999999999999</v>
      </c>
      <c r="F1340" s="4">
        <v>3.2000000000000002E-3</v>
      </c>
    </row>
    <row r="1341" spans="1:6" x14ac:dyDescent="0.35">
      <c r="A1341" s="2" t="s">
        <v>1856</v>
      </c>
      <c r="B1341" s="6" t="s">
        <v>1857</v>
      </c>
      <c r="C1341" s="2" t="s">
        <v>461</v>
      </c>
      <c r="D1341" s="4">
        <v>0.56352000000000002</v>
      </c>
      <c r="E1341" s="4">
        <v>0.41408</v>
      </c>
      <c r="F1341" s="4">
        <v>3.2000000000000002E-3</v>
      </c>
    </row>
    <row r="1342" spans="1:6" x14ac:dyDescent="0.35">
      <c r="A1342" s="2" t="s">
        <v>1858</v>
      </c>
      <c r="B1342" s="6" t="s">
        <v>1859</v>
      </c>
      <c r="C1342" s="2" t="s">
        <v>461</v>
      </c>
      <c r="D1342" s="4">
        <v>0.53376000000000001</v>
      </c>
      <c r="E1342" s="4">
        <v>0.26912000000000003</v>
      </c>
      <c r="F1342" s="4">
        <v>4.1599999999999996E-3</v>
      </c>
    </row>
    <row r="1343" spans="1:6" x14ac:dyDescent="0.35">
      <c r="A1343" s="2" t="s">
        <v>1860</v>
      </c>
      <c r="B1343" s="6" t="e">
        <v>#N/A</v>
      </c>
      <c r="C1343" s="2" t="e">
        <v>#N/A</v>
      </c>
      <c r="D1343" s="4">
        <v>0.58943999999999996</v>
      </c>
      <c r="E1343" s="4">
        <v>0.43424000000000001</v>
      </c>
      <c r="F1343" s="4">
        <v>3.5200000000000001E-3</v>
      </c>
    </row>
    <row r="1344" spans="1:6" x14ac:dyDescent="0.35">
      <c r="A1344" s="2" t="s">
        <v>1861</v>
      </c>
      <c r="B1344" s="6" t="e">
        <v>#N/A</v>
      </c>
      <c r="C1344" s="2" t="e">
        <v>#N/A</v>
      </c>
      <c r="D1344" s="4">
        <v>0.57920000000000005</v>
      </c>
      <c r="E1344" s="4">
        <v>0.42431999999999997</v>
      </c>
      <c r="F1344" s="4">
        <v>3.2000000000000002E-3</v>
      </c>
    </row>
    <row r="1345" spans="1:6" x14ac:dyDescent="0.35">
      <c r="A1345" s="2" t="s">
        <v>1862</v>
      </c>
      <c r="B1345" s="6" t="e">
        <v>#N/A</v>
      </c>
      <c r="C1345" s="2" t="e">
        <v>#N/A</v>
      </c>
      <c r="D1345" s="4">
        <v>0.52447999999999995</v>
      </c>
      <c r="E1345" s="4">
        <v>0.29824000000000001</v>
      </c>
      <c r="F1345" s="4">
        <v>4.4799999999999996E-3</v>
      </c>
    </row>
    <row r="1346" spans="1:6" x14ac:dyDescent="0.35">
      <c r="A1346" s="2" t="s">
        <v>1863</v>
      </c>
      <c r="B1346" s="6" t="e">
        <v>#N/A</v>
      </c>
      <c r="C1346" s="2" t="e">
        <v>#N/A</v>
      </c>
      <c r="D1346" s="4">
        <v>0.60255999999999998</v>
      </c>
      <c r="E1346" s="4">
        <v>0.35552</v>
      </c>
      <c r="F1346" s="4">
        <v>5.1200000000000004E-3</v>
      </c>
    </row>
    <row r="1347" spans="1:6" x14ac:dyDescent="0.35">
      <c r="A1347" s="2" t="s">
        <v>1864</v>
      </c>
      <c r="B1347" s="6" t="e">
        <v>#N/A</v>
      </c>
      <c r="C1347" s="2" t="e">
        <v>#N/A</v>
      </c>
      <c r="D1347" s="4">
        <v>0.58975999999999995</v>
      </c>
      <c r="E1347" s="4">
        <v>0.44607999999999998</v>
      </c>
      <c r="F1347" s="4">
        <v>3.5200000000000001E-3</v>
      </c>
    </row>
    <row r="1348" spans="1:6" x14ac:dyDescent="0.35">
      <c r="A1348" s="2" t="s">
        <v>1865</v>
      </c>
      <c r="B1348" s="6" t="e">
        <v>#N/A</v>
      </c>
      <c r="C1348" s="2" t="e">
        <v>#N/A</v>
      </c>
      <c r="D1348" s="4">
        <v>0.55167999999999995</v>
      </c>
      <c r="E1348" s="4">
        <v>0.40832000000000002</v>
      </c>
      <c r="F1348" s="4">
        <v>3.2000000000000002E-3</v>
      </c>
    </row>
    <row r="1349" spans="1:6" x14ac:dyDescent="0.35">
      <c r="A1349" s="2" t="s">
        <v>1866</v>
      </c>
      <c r="B1349" s="6" t="s">
        <v>1484</v>
      </c>
      <c r="C1349" s="2" t="s">
        <v>461</v>
      </c>
      <c r="D1349" s="4">
        <v>0.58911999999999998</v>
      </c>
      <c r="E1349" s="4">
        <v>0.43424000000000001</v>
      </c>
      <c r="F1349" s="4">
        <v>3.5200000000000001E-3</v>
      </c>
    </row>
    <row r="1350" spans="1:6" x14ac:dyDescent="0.35">
      <c r="A1350" s="2" t="s">
        <v>1867</v>
      </c>
      <c r="B1350" s="6" t="s">
        <v>1467</v>
      </c>
      <c r="C1350" s="2" t="s">
        <v>461</v>
      </c>
      <c r="D1350" s="4">
        <v>0.61216000000000004</v>
      </c>
      <c r="E1350" s="4">
        <v>0.45600000000000002</v>
      </c>
      <c r="F1350" s="4">
        <v>3.5200000000000001E-3</v>
      </c>
    </row>
    <row r="1351" spans="1:6" x14ac:dyDescent="0.35">
      <c r="A1351" s="2" t="s">
        <v>1868</v>
      </c>
      <c r="B1351" s="6" t="s">
        <v>1869</v>
      </c>
      <c r="C1351" s="2" t="s">
        <v>461</v>
      </c>
      <c r="D1351" s="4">
        <v>0.62336000000000003</v>
      </c>
      <c r="E1351" s="4">
        <v>0.45119999999999999</v>
      </c>
      <c r="F1351" s="4">
        <v>3.5200000000000001E-3</v>
      </c>
    </row>
    <row r="1352" spans="1:6" x14ac:dyDescent="0.35">
      <c r="A1352" s="2" t="s">
        <v>1870</v>
      </c>
      <c r="B1352" s="6" t="s">
        <v>1871</v>
      </c>
      <c r="C1352" s="2" t="s">
        <v>461</v>
      </c>
      <c r="D1352" s="4">
        <v>0.61792000000000002</v>
      </c>
      <c r="E1352" s="4">
        <v>0.44735999999999998</v>
      </c>
      <c r="F1352" s="4">
        <v>3.5200000000000001E-3</v>
      </c>
    </row>
    <row r="1353" spans="1:6" x14ac:dyDescent="0.35">
      <c r="A1353" s="2" t="s">
        <v>1872</v>
      </c>
      <c r="B1353" s="6" t="s">
        <v>1873</v>
      </c>
      <c r="C1353" s="2" t="s">
        <v>461</v>
      </c>
      <c r="D1353" s="4">
        <v>0.62624000000000002</v>
      </c>
      <c r="E1353" s="4">
        <v>0.45407999999999998</v>
      </c>
      <c r="F1353" s="4">
        <v>3.5200000000000001E-3</v>
      </c>
    </row>
    <row r="1354" spans="1:6" x14ac:dyDescent="0.35">
      <c r="A1354" s="2" t="s">
        <v>1874</v>
      </c>
      <c r="B1354" s="6" t="s">
        <v>1875</v>
      </c>
      <c r="C1354" s="2" t="s">
        <v>461</v>
      </c>
      <c r="D1354" s="4">
        <v>0.47232000000000002</v>
      </c>
      <c r="E1354" s="4">
        <v>0.26304</v>
      </c>
      <c r="F1354" s="4">
        <v>2.8800000000000002E-3</v>
      </c>
    </row>
    <row r="1355" spans="1:6" x14ac:dyDescent="0.35">
      <c r="A1355" s="2" t="s">
        <v>1876</v>
      </c>
      <c r="B1355" s="6" t="s">
        <v>1877</v>
      </c>
      <c r="C1355" s="2" t="s">
        <v>461</v>
      </c>
      <c r="D1355" s="4">
        <v>0.62080000000000002</v>
      </c>
      <c r="E1355" s="4">
        <v>0.45023999999999997</v>
      </c>
      <c r="F1355" s="4">
        <v>3.5200000000000001E-3</v>
      </c>
    </row>
    <row r="1356" spans="1:6" x14ac:dyDescent="0.35">
      <c r="A1356" s="2" t="s">
        <v>1878</v>
      </c>
      <c r="B1356" s="6" t="s">
        <v>1879</v>
      </c>
      <c r="C1356" s="2" t="s">
        <v>461</v>
      </c>
      <c r="D1356" s="4">
        <v>0.6048</v>
      </c>
      <c r="E1356" s="4">
        <v>0.43456</v>
      </c>
      <c r="F1356" s="4">
        <v>3.2000000000000002E-3</v>
      </c>
    </row>
    <row r="1357" spans="1:6" x14ac:dyDescent="0.35">
      <c r="A1357" s="2" t="s">
        <v>1880</v>
      </c>
      <c r="B1357" s="6" t="s">
        <v>1881</v>
      </c>
      <c r="C1357" s="2" t="s">
        <v>461</v>
      </c>
      <c r="D1357" s="4">
        <v>0.51071999999999995</v>
      </c>
      <c r="E1357" s="4">
        <v>0.38496000000000002</v>
      </c>
      <c r="F1357" s="4">
        <v>1.92E-3</v>
      </c>
    </row>
    <row r="1358" spans="1:6" x14ac:dyDescent="0.35">
      <c r="A1358" s="2" t="s">
        <v>1882</v>
      </c>
      <c r="B1358" s="6" t="s">
        <v>1883</v>
      </c>
      <c r="C1358" s="2" t="s">
        <v>461</v>
      </c>
      <c r="D1358" s="4">
        <v>0.62048000000000003</v>
      </c>
      <c r="E1358" s="4">
        <v>0.45216000000000001</v>
      </c>
      <c r="F1358" s="4">
        <v>3.5200000000000001E-3</v>
      </c>
    </row>
    <row r="1359" spans="1:6" x14ac:dyDescent="0.35">
      <c r="A1359" s="2" t="s">
        <v>1884</v>
      </c>
      <c r="B1359" s="6" t="s">
        <v>1885</v>
      </c>
      <c r="C1359" s="2" t="s">
        <v>461</v>
      </c>
      <c r="D1359" s="4">
        <v>0.59743999999999997</v>
      </c>
      <c r="E1359" s="4">
        <v>0.43359999999999999</v>
      </c>
      <c r="F1359" s="4">
        <v>3.5200000000000001E-3</v>
      </c>
    </row>
    <row r="1360" spans="1:6" x14ac:dyDescent="0.35">
      <c r="A1360" s="2" t="s">
        <v>1886</v>
      </c>
      <c r="B1360" s="6" t="s">
        <v>1853</v>
      </c>
      <c r="C1360" s="2" t="s">
        <v>461</v>
      </c>
      <c r="D1360" s="4">
        <v>0.59008000000000005</v>
      </c>
      <c r="E1360" s="4">
        <v>0.41408</v>
      </c>
      <c r="F1360" s="4">
        <v>7.3600000000000002E-3</v>
      </c>
    </row>
    <row r="1361" spans="1:6" x14ac:dyDescent="0.35">
      <c r="A1361" s="2" t="s">
        <v>1887</v>
      </c>
      <c r="B1361" s="6" t="s">
        <v>1888</v>
      </c>
      <c r="C1361" s="2" t="s">
        <v>461</v>
      </c>
      <c r="D1361" s="4">
        <v>0.60607999999999995</v>
      </c>
      <c r="E1361" s="4">
        <v>0.45151999999999998</v>
      </c>
      <c r="F1361" s="4">
        <v>3.5200000000000001E-3</v>
      </c>
    </row>
    <row r="1362" spans="1:6" x14ac:dyDescent="0.35">
      <c r="A1362" s="2" t="s">
        <v>1889</v>
      </c>
      <c r="B1362" s="6" t="s">
        <v>1467</v>
      </c>
      <c r="C1362" s="2" t="s">
        <v>461</v>
      </c>
      <c r="D1362" s="4">
        <v>0.59840000000000004</v>
      </c>
      <c r="E1362" s="4">
        <v>0.44191999999999998</v>
      </c>
      <c r="F1362" s="4">
        <v>3.5200000000000001E-3</v>
      </c>
    </row>
    <row r="1363" spans="1:6" x14ac:dyDescent="0.35">
      <c r="A1363" s="2" t="s">
        <v>1890</v>
      </c>
      <c r="B1363" s="6" t="s">
        <v>1484</v>
      </c>
      <c r="C1363" s="2" t="s">
        <v>461</v>
      </c>
      <c r="D1363" s="4">
        <v>0.61041000000000001</v>
      </c>
      <c r="E1363" s="4">
        <v>0.45171</v>
      </c>
      <c r="F1363" s="4">
        <v>3.5200000000000001E-3</v>
      </c>
    </row>
    <row r="1364" spans="1:6" x14ac:dyDescent="0.35">
      <c r="A1364" s="2" t="s">
        <v>1891</v>
      </c>
      <c r="B1364" s="6" t="s">
        <v>1892</v>
      </c>
      <c r="C1364" s="2" t="s">
        <v>461</v>
      </c>
      <c r="D1364" s="4">
        <v>0.13824</v>
      </c>
      <c r="E1364" s="4">
        <v>-2.2399999999999998E-3</v>
      </c>
      <c r="F1364" s="4">
        <v>0</v>
      </c>
    </row>
    <row r="1365" spans="1:6" x14ac:dyDescent="0.35">
      <c r="A1365" s="2" t="s">
        <v>1893</v>
      </c>
      <c r="B1365" s="6" t="s">
        <v>1894</v>
      </c>
      <c r="C1365" s="2" t="s">
        <v>461</v>
      </c>
      <c r="D1365" s="4">
        <v>0.52576000000000001</v>
      </c>
      <c r="E1365" s="4">
        <v>0.36831999999999998</v>
      </c>
      <c r="F1365" s="4">
        <v>3.2000000000000002E-3</v>
      </c>
    </row>
    <row r="1366" spans="1:6" x14ac:dyDescent="0.35">
      <c r="A1366" s="2" t="s">
        <v>1895</v>
      </c>
      <c r="B1366" s="6" t="s">
        <v>1896</v>
      </c>
      <c r="C1366" s="2" t="s">
        <v>461</v>
      </c>
      <c r="D1366" s="4">
        <v>0.34592000000000001</v>
      </c>
      <c r="E1366" s="4">
        <v>0.20127999999999999</v>
      </c>
      <c r="F1366" s="4">
        <v>2.2399999999999998E-3</v>
      </c>
    </row>
    <row r="1367" spans="1:6" x14ac:dyDescent="0.35">
      <c r="A1367" s="2" t="s">
        <v>1897</v>
      </c>
      <c r="B1367" s="6" t="s">
        <v>1898</v>
      </c>
      <c r="C1367" s="2" t="s">
        <v>461</v>
      </c>
      <c r="D1367" s="4">
        <v>0.46048</v>
      </c>
      <c r="E1367" s="4">
        <v>0.22336</v>
      </c>
      <c r="F1367" s="4">
        <v>3.8400000000000001E-3</v>
      </c>
    </row>
    <row r="1368" spans="1:6" x14ac:dyDescent="0.35">
      <c r="A1368" s="2" t="s">
        <v>1899</v>
      </c>
      <c r="B1368" s="6" t="s">
        <v>1900</v>
      </c>
      <c r="C1368" s="2" t="s">
        <v>461</v>
      </c>
      <c r="D1368" s="4">
        <v>0.52800000000000002</v>
      </c>
      <c r="E1368" s="4">
        <v>0.35711999999999999</v>
      </c>
      <c r="F1368" s="4">
        <v>3.8400000000000001E-3</v>
      </c>
    </row>
    <row r="1369" spans="1:6" x14ac:dyDescent="0.35">
      <c r="A1369" s="2" t="s">
        <v>1901</v>
      </c>
      <c r="B1369" s="6" t="s">
        <v>1902</v>
      </c>
      <c r="C1369" s="2" t="s">
        <v>461</v>
      </c>
      <c r="D1369" s="4">
        <v>0.38624000000000003</v>
      </c>
      <c r="E1369" s="4">
        <v>0.24512</v>
      </c>
      <c r="F1369" s="4">
        <v>2.8800000000000002E-3</v>
      </c>
    </row>
    <row r="1370" spans="1:6" x14ac:dyDescent="0.35">
      <c r="A1370" s="2" t="s">
        <v>1903</v>
      </c>
      <c r="B1370" s="6" t="s">
        <v>1467</v>
      </c>
      <c r="C1370" s="2" t="s">
        <v>461</v>
      </c>
      <c r="D1370" s="4">
        <v>0.48415999999999998</v>
      </c>
      <c r="E1370" s="4">
        <v>0.26591999999999999</v>
      </c>
      <c r="F1370" s="4">
        <v>4.1599999999999996E-3</v>
      </c>
    </row>
    <row r="1371" spans="1:6" x14ac:dyDescent="0.35">
      <c r="A1371" s="2" t="s">
        <v>1904</v>
      </c>
      <c r="B1371" s="6" t="e">
        <v>#N/A</v>
      </c>
      <c r="C1371" s="2" t="e">
        <v>#N/A</v>
      </c>
      <c r="D1371" s="4">
        <v>0.42815999999999999</v>
      </c>
      <c r="E1371" s="4">
        <v>0.22048000000000001</v>
      </c>
      <c r="F1371" s="4">
        <v>3.8400000000000001E-3</v>
      </c>
    </row>
    <row r="1372" spans="1:6" x14ac:dyDescent="0.35">
      <c r="A1372" s="2" t="s">
        <v>1905</v>
      </c>
      <c r="B1372" s="6" t="e">
        <v>#N/A</v>
      </c>
      <c r="C1372" s="2" t="e">
        <v>#N/A</v>
      </c>
      <c r="D1372" s="4">
        <v>0.50239999999999996</v>
      </c>
      <c r="E1372" s="4">
        <v>0.36064000000000002</v>
      </c>
      <c r="F1372" s="4">
        <v>3.2000000000000002E-3</v>
      </c>
    </row>
    <row r="1373" spans="1:6" x14ac:dyDescent="0.35">
      <c r="A1373" s="2" t="s">
        <v>1906</v>
      </c>
      <c r="B1373" s="6" t="s">
        <v>1467</v>
      </c>
      <c r="C1373" s="2" t="s">
        <v>461</v>
      </c>
      <c r="D1373" s="4">
        <v>0.83328000000000002</v>
      </c>
      <c r="E1373" s="4">
        <v>0.66496</v>
      </c>
      <c r="F1373" s="4">
        <v>7.0400000000000003E-3</v>
      </c>
    </row>
    <row r="1374" spans="1:6" x14ac:dyDescent="0.35">
      <c r="A1374" s="2" t="s">
        <v>1907</v>
      </c>
      <c r="B1374" s="6" t="s">
        <v>1467</v>
      </c>
      <c r="C1374" s="2" t="s">
        <v>461</v>
      </c>
      <c r="D1374" s="4">
        <v>0.83328000000000002</v>
      </c>
      <c r="E1374" s="4">
        <v>0.66496</v>
      </c>
      <c r="F1374" s="4">
        <v>7.0400000000000003E-3</v>
      </c>
    </row>
    <row r="1375" spans="1:6" x14ac:dyDescent="0.35">
      <c r="A1375" s="2" t="s">
        <v>1908</v>
      </c>
      <c r="B1375" s="6" t="s">
        <v>1467</v>
      </c>
      <c r="C1375" s="2" t="s">
        <v>461</v>
      </c>
      <c r="D1375" s="4">
        <v>0.83104</v>
      </c>
      <c r="E1375" s="4">
        <v>0.66271999999999998</v>
      </c>
      <c r="F1375" s="4">
        <v>7.0400000000000003E-3</v>
      </c>
    </row>
    <row r="1376" spans="1:6" x14ac:dyDescent="0.35">
      <c r="A1376" s="2" t="s">
        <v>1909</v>
      </c>
      <c r="B1376" s="6" t="e">
        <v>#N/A</v>
      </c>
      <c r="C1376" s="2" t="e">
        <v>#N/A</v>
      </c>
      <c r="D1376" s="4">
        <v>0.83328000000000002</v>
      </c>
      <c r="E1376" s="4">
        <v>0.66496</v>
      </c>
      <c r="F1376" s="4">
        <v>7.0400000000000003E-3</v>
      </c>
    </row>
    <row r="1377" spans="1:6" x14ac:dyDescent="0.35">
      <c r="A1377" s="2" t="s">
        <v>1910</v>
      </c>
      <c r="B1377" s="6" t="s">
        <v>1911</v>
      </c>
      <c r="C1377" s="2" t="s">
        <v>461</v>
      </c>
      <c r="D1377" s="4">
        <v>0.80032000000000003</v>
      </c>
      <c r="E1377" s="4">
        <v>0.63551999999999997</v>
      </c>
      <c r="F1377" s="4">
        <v>7.0400000000000003E-3</v>
      </c>
    </row>
    <row r="1378" spans="1:6" x14ac:dyDescent="0.35">
      <c r="A1378" s="2" t="s">
        <v>1912</v>
      </c>
      <c r="B1378" s="6" t="e">
        <v>#N/A</v>
      </c>
      <c r="C1378" s="2" t="e">
        <v>#N/A</v>
      </c>
      <c r="D1378" s="4">
        <v>0</v>
      </c>
    </row>
    <row r="1379" spans="1:6" x14ac:dyDescent="0.35">
      <c r="A1379" s="2" t="s">
        <v>1913</v>
      </c>
      <c r="B1379" s="6" t="e">
        <v>#N/A</v>
      </c>
      <c r="C1379" s="2" t="e">
        <v>#N/A</v>
      </c>
      <c r="D1379" s="4">
        <v>0.81888000000000005</v>
      </c>
      <c r="E1379" s="4">
        <v>0.65600000000000003</v>
      </c>
      <c r="F1379" s="4">
        <v>1.6000000000000001E-3</v>
      </c>
    </row>
    <row r="1380" spans="1:6" x14ac:dyDescent="0.35">
      <c r="A1380" s="2" t="s">
        <v>1914</v>
      </c>
      <c r="B1380" s="6" t="e">
        <v>#N/A</v>
      </c>
      <c r="C1380" s="2" t="e">
        <v>#N/A</v>
      </c>
      <c r="D1380" s="4">
        <v>0.81888000000000005</v>
      </c>
      <c r="E1380" s="4">
        <v>0.65600000000000003</v>
      </c>
      <c r="F1380" s="4">
        <v>1.6000000000000001E-3</v>
      </c>
    </row>
    <row r="1381" spans="1:6" x14ac:dyDescent="0.35">
      <c r="A1381" s="2" t="s">
        <v>1915</v>
      </c>
      <c r="B1381" s="6" t="e">
        <v>#N/A</v>
      </c>
      <c r="C1381" s="2" t="e">
        <v>#N/A</v>
      </c>
      <c r="D1381" s="4">
        <v>0.81888000000000005</v>
      </c>
      <c r="E1381" s="4">
        <v>0.65600000000000003</v>
      </c>
      <c r="F1381" s="4">
        <v>1.6000000000000001E-3</v>
      </c>
    </row>
    <row r="1382" spans="1:6" x14ac:dyDescent="0.35">
      <c r="A1382" s="2" t="s">
        <v>1916</v>
      </c>
      <c r="B1382" s="6" t="s">
        <v>1917</v>
      </c>
      <c r="C1382" s="2" t="s">
        <v>461</v>
      </c>
      <c r="D1382" s="4">
        <v>3.2288000000000001</v>
      </c>
      <c r="E1382" s="4">
        <v>2.21088</v>
      </c>
      <c r="F1382" s="4">
        <v>3.6479999999999999E-2</v>
      </c>
    </row>
    <row r="1383" spans="1:6" x14ac:dyDescent="0.35">
      <c r="A1383" s="2" t="s">
        <v>1918</v>
      </c>
      <c r="B1383" s="6" t="e">
        <v>#N/A</v>
      </c>
      <c r="C1383" s="2" t="e">
        <v>#N/A</v>
      </c>
      <c r="D1383" s="4">
        <v>1.95136</v>
      </c>
      <c r="E1383" s="4">
        <v>1.23424</v>
      </c>
      <c r="F1383" s="4">
        <v>2.0160000000000001E-2</v>
      </c>
    </row>
    <row r="1384" spans="1:6" x14ac:dyDescent="0.35">
      <c r="A1384" s="2" t="s">
        <v>1919</v>
      </c>
      <c r="B1384" s="6" t="s">
        <v>1920</v>
      </c>
      <c r="C1384" s="2" t="s">
        <v>461</v>
      </c>
      <c r="D1384" s="4">
        <v>0.50080000000000002</v>
      </c>
      <c r="E1384" s="4">
        <v>0.35648000000000002</v>
      </c>
      <c r="F1384" s="4">
        <v>2.2399999999999998E-3</v>
      </c>
    </row>
    <row r="1385" spans="1:6" x14ac:dyDescent="0.35">
      <c r="A1385" s="2" t="s">
        <v>1921</v>
      </c>
      <c r="B1385" s="6" t="s">
        <v>1922</v>
      </c>
      <c r="C1385" s="2" t="s">
        <v>461</v>
      </c>
      <c r="D1385" s="4">
        <v>0.51232</v>
      </c>
      <c r="E1385" s="4">
        <v>0.36768000000000001</v>
      </c>
      <c r="F1385" s="4">
        <v>2.5600000000000002E-3</v>
      </c>
    </row>
    <row r="1386" spans="1:6" x14ac:dyDescent="0.35">
      <c r="A1386" s="2" t="s">
        <v>1923</v>
      </c>
      <c r="B1386" s="6" t="s">
        <v>1467</v>
      </c>
      <c r="C1386" s="2" t="s">
        <v>461</v>
      </c>
      <c r="D1386" s="4">
        <v>0.38528000000000001</v>
      </c>
      <c r="E1386" s="4">
        <v>0.23935999999999999</v>
      </c>
      <c r="F1386" s="4">
        <v>1.92E-3</v>
      </c>
    </row>
    <row r="1387" spans="1:6" x14ac:dyDescent="0.35">
      <c r="A1387" s="2" t="s">
        <v>1924</v>
      </c>
      <c r="B1387" s="6" t="e">
        <v>#N/A</v>
      </c>
      <c r="C1387" s="2" t="e">
        <v>#N/A</v>
      </c>
      <c r="D1387" s="4">
        <v>0.52847999999999995</v>
      </c>
      <c r="E1387" s="4">
        <v>0.29063</v>
      </c>
      <c r="F1387" s="4">
        <v>1.252E-2</v>
      </c>
    </row>
    <row r="1388" spans="1:6" x14ac:dyDescent="0.35">
      <c r="A1388" s="2" t="s">
        <v>1925</v>
      </c>
      <c r="B1388" s="6" t="e">
        <v>#N/A</v>
      </c>
      <c r="C1388" s="2" t="e">
        <v>#N/A</v>
      </c>
      <c r="D1388" s="4">
        <v>0.56184000000000001</v>
      </c>
      <c r="E1388" s="4">
        <v>0.31153999999999998</v>
      </c>
      <c r="F1388" s="4">
        <v>2.1700000000000001E-2</v>
      </c>
    </row>
    <row r="1389" spans="1:6" x14ac:dyDescent="0.35">
      <c r="A1389" s="2" t="s">
        <v>1926</v>
      </c>
      <c r="B1389" s="6" t="s">
        <v>1927</v>
      </c>
      <c r="C1389" s="2" t="s">
        <v>461</v>
      </c>
      <c r="D1389" s="4">
        <v>0.57184000000000001</v>
      </c>
      <c r="E1389" s="4">
        <v>0.42720000000000002</v>
      </c>
      <c r="F1389" s="4">
        <v>2.5600000000000002E-3</v>
      </c>
    </row>
    <row r="1390" spans="1:6" x14ac:dyDescent="0.35">
      <c r="A1390" s="2" t="s">
        <v>1928</v>
      </c>
      <c r="B1390" s="6" t="s">
        <v>1929</v>
      </c>
      <c r="C1390" s="2" t="s">
        <v>461</v>
      </c>
      <c r="D1390" s="4">
        <v>0.68544000000000005</v>
      </c>
      <c r="E1390" s="4">
        <v>0.39679999999999999</v>
      </c>
      <c r="F1390" s="4">
        <v>2.8800000000000002E-3</v>
      </c>
    </row>
    <row r="1391" spans="1:6" x14ac:dyDescent="0.35">
      <c r="A1391" s="2" t="s">
        <v>1930</v>
      </c>
      <c r="B1391" s="6" t="s">
        <v>1467</v>
      </c>
      <c r="C1391" s="2" t="s">
        <v>461</v>
      </c>
      <c r="D1391" s="4">
        <v>0.55200000000000005</v>
      </c>
      <c r="E1391" s="4">
        <v>0.43008000000000002</v>
      </c>
      <c r="F1391" s="4">
        <v>2.8800000000000002E-3</v>
      </c>
    </row>
    <row r="1392" spans="1:6" x14ac:dyDescent="0.35">
      <c r="A1392" s="2" t="s">
        <v>1931</v>
      </c>
      <c r="B1392" s="6" t="s">
        <v>1932</v>
      </c>
      <c r="C1392" s="2" t="s">
        <v>461</v>
      </c>
      <c r="D1392" s="4">
        <v>0.53471999999999997</v>
      </c>
      <c r="E1392" s="4">
        <v>0.40351999999999999</v>
      </c>
      <c r="F1392" s="4">
        <v>2.8800000000000002E-3</v>
      </c>
    </row>
    <row r="1393" spans="1:6" x14ac:dyDescent="0.35">
      <c r="A1393" s="2" t="s">
        <v>1933</v>
      </c>
      <c r="B1393" s="6" t="s">
        <v>1934</v>
      </c>
      <c r="C1393" s="2" t="s">
        <v>461</v>
      </c>
      <c r="D1393" s="4">
        <v>0.55647999999999997</v>
      </c>
      <c r="E1393" s="4">
        <v>0.42592000000000002</v>
      </c>
      <c r="F1393" s="4">
        <v>2.8800000000000002E-3</v>
      </c>
    </row>
    <row r="1394" spans="1:6" x14ac:dyDescent="0.35">
      <c r="A1394" s="2" t="s">
        <v>1935</v>
      </c>
      <c r="B1394" s="6" t="s">
        <v>1936</v>
      </c>
      <c r="C1394" s="2" t="s">
        <v>461</v>
      </c>
      <c r="D1394" s="4">
        <v>0.51807999999999998</v>
      </c>
      <c r="E1394" s="4">
        <v>0.38272</v>
      </c>
      <c r="F1394" s="4">
        <v>2.8800000000000002E-3</v>
      </c>
    </row>
    <row r="1395" spans="1:6" x14ac:dyDescent="0.35">
      <c r="A1395" s="2" t="s">
        <v>1937</v>
      </c>
      <c r="B1395" s="6" t="s">
        <v>1938</v>
      </c>
      <c r="C1395" s="2" t="s">
        <v>461</v>
      </c>
      <c r="D1395" s="4">
        <v>0.59199999999999997</v>
      </c>
      <c r="E1395" s="4">
        <v>0.45888000000000001</v>
      </c>
      <c r="F1395" s="4">
        <v>3.2000000000000002E-3</v>
      </c>
    </row>
    <row r="1396" spans="1:6" x14ac:dyDescent="0.35">
      <c r="A1396" s="2" t="s">
        <v>1939</v>
      </c>
      <c r="B1396" s="6" t="s">
        <v>1940</v>
      </c>
      <c r="C1396" s="2" t="s">
        <v>461</v>
      </c>
      <c r="D1396" s="4">
        <v>0.54015999999999997</v>
      </c>
      <c r="E1396" s="4">
        <v>0.41152</v>
      </c>
      <c r="F1396" s="4">
        <v>2.5600000000000002E-3</v>
      </c>
    </row>
    <row r="1397" spans="1:6" x14ac:dyDescent="0.35">
      <c r="A1397" s="2" t="s">
        <v>1941</v>
      </c>
      <c r="B1397" s="6" t="s">
        <v>1942</v>
      </c>
      <c r="C1397" s="2" t="s">
        <v>461</v>
      </c>
      <c r="D1397" s="4">
        <v>0.58016000000000001</v>
      </c>
      <c r="E1397" s="4">
        <v>0.44928000000000001</v>
      </c>
      <c r="F1397" s="4">
        <v>2.8800000000000002E-3</v>
      </c>
    </row>
    <row r="1398" spans="1:6" x14ac:dyDescent="0.35">
      <c r="A1398" s="2" t="s">
        <v>1943</v>
      </c>
      <c r="B1398" s="6" t="s">
        <v>1944</v>
      </c>
      <c r="C1398" s="2" t="s">
        <v>461</v>
      </c>
      <c r="D1398" s="4">
        <v>0.49536000000000002</v>
      </c>
      <c r="E1398" s="4">
        <v>0.35520000000000002</v>
      </c>
      <c r="F1398" s="4">
        <v>2.8800000000000002E-3</v>
      </c>
    </row>
    <row r="1399" spans="1:6" x14ac:dyDescent="0.35">
      <c r="A1399" s="2" t="s">
        <v>1945</v>
      </c>
      <c r="B1399" s="6" t="s">
        <v>1946</v>
      </c>
      <c r="C1399" s="2" t="s">
        <v>461</v>
      </c>
      <c r="D1399" s="4">
        <v>0.56320000000000003</v>
      </c>
      <c r="E1399" s="4">
        <v>0.43103999999999998</v>
      </c>
      <c r="F1399" s="4">
        <v>2.8800000000000002E-3</v>
      </c>
    </row>
    <row r="1400" spans="1:6" x14ac:dyDescent="0.35">
      <c r="A1400" s="2" t="s">
        <v>1947</v>
      </c>
      <c r="B1400" s="6" t="s">
        <v>1948</v>
      </c>
      <c r="C1400" s="2" t="s">
        <v>461</v>
      </c>
      <c r="D1400" s="4">
        <v>0.50495999999999996</v>
      </c>
      <c r="E1400" s="4">
        <v>0.36928</v>
      </c>
      <c r="F1400" s="4">
        <v>2.8800000000000002E-3</v>
      </c>
    </row>
    <row r="1401" spans="1:6" x14ac:dyDescent="0.35">
      <c r="A1401" s="2" t="s">
        <v>1949</v>
      </c>
      <c r="B1401" s="6" t="s">
        <v>1467</v>
      </c>
      <c r="C1401" s="2" t="s">
        <v>461</v>
      </c>
      <c r="D1401" s="4">
        <v>0.49471999999999999</v>
      </c>
      <c r="E1401" s="4">
        <v>0.36575999999999997</v>
      </c>
      <c r="F1401" s="4">
        <v>2.8800000000000002E-3</v>
      </c>
    </row>
    <row r="1402" spans="1:6" x14ac:dyDescent="0.35">
      <c r="A1402" s="2" t="s">
        <v>1950</v>
      </c>
      <c r="B1402" s="6" t="s">
        <v>1467</v>
      </c>
      <c r="C1402" s="2" t="s">
        <v>461</v>
      </c>
      <c r="D1402" s="4">
        <v>0.54144000000000003</v>
      </c>
      <c r="E1402" s="4">
        <v>0.41183999999999998</v>
      </c>
      <c r="F1402" s="4">
        <v>2.5600000000000002E-3</v>
      </c>
    </row>
    <row r="1403" spans="1:6" x14ac:dyDescent="0.35">
      <c r="A1403" s="2" t="s">
        <v>1951</v>
      </c>
      <c r="B1403" s="6" t="e">
        <v>#N/A</v>
      </c>
      <c r="C1403" s="2" t="e">
        <v>#N/A</v>
      </c>
      <c r="D1403" s="4">
        <v>0.51456000000000002</v>
      </c>
      <c r="E1403" s="4">
        <v>0.38591999999999999</v>
      </c>
      <c r="F1403" s="4">
        <v>2.5600000000000002E-3</v>
      </c>
    </row>
    <row r="1404" spans="1:6" x14ac:dyDescent="0.35">
      <c r="A1404" s="2" t="s">
        <v>1952</v>
      </c>
      <c r="B1404" s="6" t="s">
        <v>1953</v>
      </c>
      <c r="C1404" s="2" t="s">
        <v>461</v>
      </c>
      <c r="D1404" s="4">
        <v>0.51168000000000002</v>
      </c>
      <c r="E1404" s="4">
        <v>0.38368000000000002</v>
      </c>
      <c r="F1404" s="4">
        <v>2.5600000000000002E-3</v>
      </c>
    </row>
    <row r="1405" spans="1:6" x14ac:dyDescent="0.35">
      <c r="A1405" s="2" t="s">
        <v>1954</v>
      </c>
      <c r="B1405" s="6" t="s">
        <v>1953</v>
      </c>
      <c r="C1405" s="2" t="s">
        <v>461</v>
      </c>
      <c r="D1405" s="4">
        <v>0.46592</v>
      </c>
      <c r="E1405" s="4">
        <v>0.33792</v>
      </c>
      <c r="F1405" s="4">
        <v>2.5600000000000002E-3</v>
      </c>
    </row>
    <row r="1406" spans="1:6" x14ac:dyDescent="0.35">
      <c r="A1406" s="2" t="s">
        <v>1955</v>
      </c>
      <c r="B1406" s="6" t="e">
        <v>#N/A</v>
      </c>
      <c r="C1406" s="2" t="e">
        <v>#N/A</v>
      </c>
      <c r="D1406" s="4">
        <v>0.47808</v>
      </c>
      <c r="E1406" s="4">
        <v>0.34272000000000002</v>
      </c>
      <c r="F1406" s="4">
        <v>2.5600000000000002E-3</v>
      </c>
    </row>
    <row r="1407" spans="1:6" x14ac:dyDescent="0.35">
      <c r="A1407" s="2" t="s">
        <v>1956</v>
      </c>
      <c r="B1407" s="6" t="e">
        <v>#N/A</v>
      </c>
      <c r="C1407" s="2" t="e">
        <v>#N/A</v>
      </c>
      <c r="D1407" s="4">
        <v>0.52256000000000002</v>
      </c>
      <c r="E1407" s="4">
        <v>0.39360000000000001</v>
      </c>
      <c r="F1407" s="4">
        <v>2.5600000000000002E-3</v>
      </c>
    </row>
    <row r="1408" spans="1:6" x14ac:dyDescent="0.35">
      <c r="A1408" s="2" t="s">
        <v>1957</v>
      </c>
      <c r="B1408" s="6" t="s">
        <v>1958</v>
      </c>
      <c r="C1408" s="2" t="s">
        <v>461</v>
      </c>
      <c r="D1408" s="4">
        <v>0.50239999999999996</v>
      </c>
      <c r="E1408" s="4">
        <v>0.36096</v>
      </c>
      <c r="F1408" s="4">
        <v>2.8800000000000002E-3</v>
      </c>
    </row>
    <row r="1409" spans="1:6" x14ac:dyDescent="0.35">
      <c r="A1409" s="2" t="s">
        <v>1959</v>
      </c>
      <c r="B1409" s="6" t="s">
        <v>1934</v>
      </c>
      <c r="C1409" s="2" t="s">
        <v>461</v>
      </c>
      <c r="D1409" s="4">
        <v>0.49312</v>
      </c>
      <c r="E1409" s="4">
        <v>0.35392000000000001</v>
      </c>
      <c r="F1409" s="4">
        <v>2.8800000000000002E-3</v>
      </c>
    </row>
    <row r="1410" spans="1:6" x14ac:dyDescent="0.35">
      <c r="A1410" s="2" t="s">
        <v>1960</v>
      </c>
      <c r="B1410" s="6" t="s">
        <v>1932</v>
      </c>
      <c r="C1410" s="2" t="s">
        <v>461</v>
      </c>
      <c r="D1410" s="4">
        <v>0.53247999999999995</v>
      </c>
      <c r="E1410" s="4">
        <v>0.40192</v>
      </c>
      <c r="F1410" s="4">
        <v>2.8800000000000002E-3</v>
      </c>
    </row>
    <row r="1411" spans="1:6" x14ac:dyDescent="0.35">
      <c r="A1411" s="2" t="s">
        <v>1961</v>
      </c>
      <c r="B1411" s="6" t="s">
        <v>1962</v>
      </c>
      <c r="C1411" s="2" t="s">
        <v>461</v>
      </c>
      <c r="D1411" s="4">
        <v>0.53600000000000003</v>
      </c>
      <c r="E1411" s="4">
        <v>0.4032</v>
      </c>
      <c r="F1411" s="4">
        <v>2.8800000000000002E-3</v>
      </c>
    </row>
    <row r="1412" spans="1:6" x14ac:dyDescent="0.35">
      <c r="A1412" s="2" t="s">
        <v>1963</v>
      </c>
      <c r="B1412" s="6" t="s">
        <v>1934</v>
      </c>
      <c r="C1412" s="2" t="s">
        <v>461</v>
      </c>
      <c r="D1412" s="4">
        <v>0.55647999999999997</v>
      </c>
      <c r="E1412" s="4">
        <v>0.42592000000000002</v>
      </c>
      <c r="F1412" s="4">
        <v>2.8800000000000002E-3</v>
      </c>
    </row>
    <row r="1413" spans="1:6" x14ac:dyDescent="0.35">
      <c r="A1413" s="2" t="s">
        <v>1964</v>
      </c>
      <c r="B1413" s="6" t="s">
        <v>1965</v>
      </c>
      <c r="C1413" s="2" t="s">
        <v>461</v>
      </c>
      <c r="D1413" s="4">
        <v>0.5504</v>
      </c>
      <c r="E1413" s="4">
        <v>0.41824</v>
      </c>
      <c r="F1413" s="4">
        <v>2.5600000000000002E-3</v>
      </c>
    </row>
    <row r="1414" spans="1:6" x14ac:dyDescent="0.35">
      <c r="A1414" s="2" t="s">
        <v>1966</v>
      </c>
      <c r="B1414" s="6" t="s">
        <v>1967</v>
      </c>
      <c r="C1414" s="2" t="s">
        <v>461</v>
      </c>
      <c r="D1414" s="4">
        <v>0.57472000000000001</v>
      </c>
      <c r="E1414" s="4">
        <v>0.43935999999999997</v>
      </c>
      <c r="F1414" s="4">
        <v>2.8800000000000002E-3</v>
      </c>
    </row>
    <row r="1415" spans="1:6" x14ac:dyDescent="0.35">
      <c r="A1415" s="2" t="s">
        <v>1968</v>
      </c>
      <c r="B1415" s="6" t="s">
        <v>1969</v>
      </c>
      <c r="C1415" s="2" t="s">
        <v>461</v>
      </c>
      <c r="D1415" s="4">
        <v>0.5968</v>
      </c>
      <c r="E1415" s="4">
        <v>0.46367999999999998</v>
      </c>
      <c r="F1415" s="4">
        <v>3.2000000000000002E-3</v>
      </c>
    </row>
    <row r="1416" spans="1:6" x14ac:dyDescent="0.35">
      <c r="A1416" s="2" t="s">
        <v>1970</v>
      </c>
      <c r="B1416" s="6" t="s">
        <v>1936</v>
      </c>
      <c r="C1416" s="2" t="s">
        <v>461</v>
      </c>
      <c r="D1416" s="4">
        <v>0.55391999999999997</v>
      </c>
      <c r="E1416" s="4">
        <v>0.42527999999999999</v>
      </c>
      <c r="F1416" s="4">
        <v>2.8800000000000002E-3</v>
      </c>
    </row>
    <row r="1417" spans="1:6" x14ac:dyDescent="0.35">
      <c r="A1417" s="2" t="s">
        <v>1971</v>
      </c>
      <c r="B1417" s="6" t="s">
        <v>1484</v>
      </c>
      <c r="C1417" s="2" t="s">
        <v>461</v>
      </c>
      <c r="D1417" s="4">
        <v>0.52256000000000002</v>
      </c>
      <c r="E1417" s="4">
        <v>0.39040000000000002</v>
      </c>
      <c r="F1417" s="4">
        <v>2.7200000000000002E-3</v>
      </c>
    </row>
    <row r="1418" spans="1:6" x14ac:dyDescent="0.35">
      <c r="A1418" s="2" t="s">
        <v>1972</v>
      </c>
      <c r="B1418" s="6" t="e">
        <v>#N/A</v>
      </c>
      <c r="C1418" s="2" t="e">
        <v>#N/A</v>
      </c>
      <c r="D1418" s="4">
        <v>0.49795</v>
      </c>
      <c r="E1418" s="4">
        <v>0.36995</v>
      </c>
      <c r="F1418" s="4">
        <v>2.5600000000000002E-3</v>
      </c>
    </row>
    <row r="1419" spans="1:6" x14ac:dyDescent="0.35">
      <c r="A1419" s="2" t="s">
        <v>1973</v>
      </c>
      <c r="B1419" s="6" t="e">
        <v>#N/A</v>
      </c>
      <c r="C1419" s="2" t="e">
        <v>#N/A</v>
      </c>
      <c r="D1419" s="4">
        <v>0.50892999999999999</v>
      </c>
      <c r="E1419" s="4">
        <v>0.37667</v>
      </c>
      <c r="F1419" s="4">
        <v>2.82E-3</v>
      </c>
    </row>
    <row r="1420" spans="1:6" x14ac:dyDescent="0.35">
      <c r="A1420" s="2" t="s">
        <v>1974</v>
      </c>
      <c r="B1420" s="6" t="s">
        <v>1467</v>
      </c>
      <c r="C1420" s="2" t="s">
        <v>461</v>
      </c>
      <c r="D1420" s="4">
        <v>0.44640000000000002</v>
      </c>
      <c r="E1420" s="4">
        <v>0.30528</v>
      </c>
      <c r="F1420" s="4">
        <v>9.6000000000000002E-4</v>
      </c>
    </row>
    <row r="1421" spans="1:6" x14ac:dyDescent="0.35">
      <c r="A1421" s="2" t="s">
        <v>1975</v>
      </c>
      <c r="B1421" s="6" t="s">
        <v>1976</v>
      </c>
      <c r="C1421" s="2" t="s">
        <v>461</v>
      </c>
      <c r="D1421" s="4">
        <v>0.62016000000000004</v>
      </c>
      <c r="E1421" s="4">
        <v>0.47392000000000001</v>
      </c>
      <c r="F1421" s="4">
        <v>1.92E-3</v>
      </c>
    </row>
    <row r="1422" spans="1:6" x14ac:dyDescent="0.35">
      <c r="A1422" s="2" t="s">
        <v>1977</v>
      </c>
      <c r="B1422" s="6" t="s">
        <v>1467</v>
      </c>
      <c r="C1422" s="2" t="s">
        <v>461</v>
      </c>
      <c r="D1422" s="4">
        <v>0.64992000000000005</v>
      </c>
      <c r="E1422" s="4">
        <v>0.50144</v>
      </c>
      <c r="F1422" s="4">
        <v>1.92E-3</v>
      </c>
    </row>
    <row r="1423" spans="1:6" x14ac:dyDescent="0.35">
      <c r="A1423" s="2" t="s">
        <v>1978</v>
      </c>
      <c r="B1423" s="6" t="s">
        <v>1467</v>
      </c>
      <c r="C1423" s="2" t="s">
        <v>461</v>
      </c>
      <c r="D1423" s="4">
        <v>0.66656000000000004</v>
      </c>
      <c r="E1423" s="4">
        <v>0.51776</v>
      </c>
      <c r="F1423" s="4">
        <v>2.2399999999999998E-3</v>
      </c>
    </row>
    <row r="1424" spans="1:6" x14ac:dyDescent="0.35">
      <c r="A1424" s="2" t="s">
        <v>1979</v>
      </c>
      <c r="B1424" s="6" t="s">
        <v>1980</v>
      </c>
      <c r="C1424" s="2" t="s">
        <v>461</v>
      </c>
      <c r="D1424" s="4">
        <v>0.46400000000000002</v>
      </c>
      <c r="E1424" s="4">
        <v>0.31903999999999999</v>
      </c>
      <c r="F1424" s="4">
        <v>2.5600000000000002E-3</v>
      </c>
    </row>
    <row r="1425" spans="1:6" x14ac:dyDescent="0.35">
      <c r="A1425" s="2" t="s">
        <v>1981</v>
      </c>
      <c r="B1425" s="6" t="s">
        <v>1982</v>
      </c>
      <c r="C1425" s="2" t="s">
        <v>461</v>
      </c>
      <c r="D1425" s="4">
        <v>0.48864000000000002</v>
      </c>
      <c r="E1425" s="4">
        <v>0.35680000000000001</v>
      </c>
      <c r="F1425" s="4">
        <v>2.5600000000000002E-3</v>
      </c>
    </row>
    <row r="1426" spans="1:6" x14ac:dyDescent="0.35">
      <c r="A1426" s="2" t="s">
        <v>1983</v>
      </c>
      <c r="B1426" s="6" t="s">
        <v>1984</v>
      </c>
      <c r="C1426" s="2" t="s">
        <v>461</v>
      </c>
      <c r="D1426" s="4">
        <v>0.48896000000000001</v>
      </c>
      <c r="E1426" s="4">
        <v>0.35711999999999999</v>
      </c>
      <c r="F1426" s="4">
        <v>2.5600000000000002E-3</v>
      </c>
    </row>
    <row r="1427" spans="1:6" x14ac:dyDescent="0.35">
      <c r="A1427" s="2" t="s">
        <v>1985</v>
      </c>
      <c r="B1427" s="6" t="s">
        <v>1982</v>
      </c>
      <c r="C1427" s="2" t="s">
        <v>461</v>
      </c>
      <c r="D1427" s="4">
        <v>0.51680000000000004</v>
      </c>
      <c r="E1427" s="4">
        <v>0.38496000000000002</v>
      </c>
      <c r="F1427" s="4">
        <v>2.5600000000000002E-3</v>
      </c>
    </row>
    <row r="1428" spans="1:6" x14ac:dyDescent="0.35">
      <c r="A1428" s="2" t="s">
        <v>1986</v>
      </c>
      <c r="B1428" s="6" t="s">
        <v>1987</v>
      </c>
      <c r="C1428" s="2" t="s">
        <v>461</v>
      </c>
      <c r="D1428" s="4">
        <v>0.59711999999999998</v>
      </c>
      <c r="E1428" s="4">
        <v>0.45951999999999998</v>
      </c>
      <c r="F1428" s="4">
        <v>3.5200000000000001E-3</v>
      </c>
    </row>
    <row r="1429" spans="1:6" x14ac:dyDescent="0.35">
      <c r="A1429" s="2" t="s">
        <v>1988</v>
      </c>
      <c r="B1429" s="6" t="s">
        <v>1989</v>
      </c>
      <c r="C1429" s="2" t="s">
        <v>461</v>
      </c>
      <c r="D1429" s="4">
        <v>0.58143999999999996</v>
      </c>
      <c r="E1429" s="4">
        <v>0.44447999999999999</v>
      </c>
      <c r="F1429" s="4">
        <v>2.8800000000000002E-3</v>
      </c>
    </row>
    <row r="1430" spans="1:6" x14ac:dyDescent="0.35">
      <c r="A1430" s="2" t="s">
        <v>1990</v>
      </c>
      <c r="B1430" s="6" t="s">
        <v>1991</v>
      </c>
      <c r="C1430" s="2" t="s">
        <v>461</v>
      </c>
      <c r="D1430" s="4">
        <v>0.64671999999999996</v>
      </c>
      <c r="E1430" s="4">
        <v>0.36831999999999998</v>
      </c>
      <c r="F1430" s="4">
        <v>5.7600000000000004E-3</v>
      </c>
    </row>
    <row r="1431" spans="1:6" x14ac:dyDescent="0.35">
      <c r="A1431" s="2" t="s">
        <v>1992</v>
      </c>
      <c r="B1431" s="6" t="e">
        <v>#N/A</v>
      </c>
      <c r="C1431" s="2" t="e">
        <v>#N/A</v>
      </c>
      <c r="D1431" s="4">
        <v>0.33823999999999999</v>
      </c>
      <c r="E1431" s="4">
        <v>0.19040000000000001</v>
      </c>
      <c r="F1431" s="4">
        <v>1.6000000000000001E-3</v>
      </c>
    </row>
    <row r="1432" spans="1:6" x14ac:dyDescent="0.35">
      <c r="A1432" s="2" t="s">
        <v>1993</v>
      </c>
      <c r="B1432" s="6" t="e">
        <v>#N/A</v>
      </c>
      <c r="C1432" s="2" t="e">
        <v>#N/A</v>
      </c>
      <c r="D1432" s="4">
        <v>0.33216000000000001</v>
      </c>
      <c r="E1432" s="4">
        <v>0.18464</v>
      </c>
      <c r="F1432" s="4">
        <v>1.2800000000000001E-3</v>
      </c>
    </row>
    <row r="1433" spans="1:6" x14ac:dyDescent="0.35">
      <c r="A1433" s="2" t="s">
        <v>1994</v>
      </c>
      <c r="B1433" s="6" t="e">
        <v>#N/A</v>
      </c>
      <c r="C1433" s="2" t="e">
        <v>#N/A</v>
      </c>
      <c r="D1433" s="4">
        <v>0.33216000000000001</v>
      </c>
      <c r="E1433" s="4">
        <v>0.18464</v>
      </c>
      <c r="F1433" s="4">
        <v>1.2800000000000001E-3</v>
      </c>
    </row>
    <row r="1434" spans="1:6" x14ac:dyDescent="0.35">
      <c r="A1434" s="2" t="s">
        <v>1995</v>
      </c>
      <c r="B1434" s="6" t="e">
        <v>#N/A</v>
      </c>
      <c r="C1434" s="2" t="e">
        <v>#N/A</v>
      </c>
      <c r="D1434" s="4">
        <v>0.34144000000000002</v>
      </c>
      <c r="E1434" s="4">
        <v>0.18912000000000001</v>
      </c>
      <c r="F1434" s="4">
        <v>1.2800000000000001E-3</v>
      </c>
    </row>
    <row r="1435" spans="1:6" x14ac:dyDescent="0.35">
      <c r="A1435" s="2" t="s">
        <v>1996</v>
      </c>
      <c r="B1435" s="6" t="s">
        <v>1467</v>
      </c>
      <c r="C1435" s="2" t="s">
        <v>461</v>
      </c>
      <c r="D1435" s="4">
        <v>0.30719999999999997</v>
      </c>
      <c r="E1435" s="4">
        <v>0.15584000000000001</v>
      </c>
      <c r="F1435" s="4">
        <v>3.2000000000000003E-4</v>
      </c>
    </row>
    <row r="1436" spans="1:6" x14ac:dyDescent="0.35">
      <c r="A1436" s="2" t="s">
        <v>1997</v>
      </c>
      <c r="B1436" s="6" t="e">
        <v>#N/A</v>
      </c>
      <c r="C1436" s="2" t="e">
        <v>#N/A</v>
      </c>
      <c r="D1436" s="4">
        <v>0.44640000000000002</v>
      </c>
      <c r="E1436" s="4">
        <v>0.29855999999999999</v>
      </c>
      <c r="F1436" s="4">
        <v>1.6000000000000001E-3</v>
      </c>
    </row>
    <row r="1437" spans="1:6" x14ac:dyDescent="0.35">
      <c r="A1437" s="2" t="s">
        <v>1998</v>
      </c>
      <c r="B1437" s="6" t="s">
        <v>1999</v>
      </c>
      <c r="C1437" s="2" t="s">
        <v>461</v>
      </c>
      <c r="D1437" s="4">
        <v>0.89151999999999998</v>
      </c>
      <c r="E1437" s="4">
        <v>0.70431999999999995</v>
      </c>
      <c r="F1437" s="4">
        <v>7.3600000000000002E-3</v>
      </c>
    </row>
    <row r="1438" spans="1:6" x14ac:dyDescent="0.35">
      <c r="A1438" s="2" t="s">
        <v>2000</v>
      </c>
      <c r="B1438" s="6" t="s">
        <v>2001</v>
      </c>
      <c r="C1438" s="2" t="s">
        <v>461</v>
      </c>
      <c r="D1438" s="4">
        <v>0.67168000000000005</v>
      </c>
      <c r="E1438" s="4">
        <v>0.44544</v>
      </c>
      <c r="F1438" s="4">
        <v>3.2000000000000002E-3</v>
      </c>
    </row>
    <row r="1439" spans="1:6" x14ac:dyDescent="0.35">
      <c r="A1439" s="2" t="s">
        <v>2002</v>
      </c>
      <c r="B1439" s="6" t="s">
        <v>2001</v>
      </c>
      <c r="C1439" s="2" t="s">
        <v>461</v>
      </c>
      <c r="D1439" s="4">
        <v>0.68128</v>
      </c>
      <c r="E1439" s="4">
        <v>0.45279999999999998</v>
      </c>
      <c r="F1439" s="4">
        <v>3.2000000000000002E-3</v>
      </c>
    </row>
    <row r="1440" spans="1:6" x14ac:dyDescent="0.35">
      <c r="A1440" s="2" t="s">
        <v>2003</v>
      </c>
      <c r="B1440" s="6" t="e">
        <v>#N/A</v>
      </c>
      <c r="C1440" s="2" t="e">
        <v>#N/A</v>
      </c>
      <c r="D1440" s="4">
        <v>0.93110000000000004</v>
      </c>
      <c r="E1440" s="4">
        <v>0.75361999999999996</v>
      </c>
      <c r="F1440" s="4">
        <v>2.4479999999999998E-2</v>
      </c>
    </row>
    <row r="1441" spans="1:6" x14ac:dyDescent="0.35">
      <c r="A1441" s="2" t="s">
        <v>2004</v>
      </c>
      <c r="B1441" s="6" t="e">
        <v>#N/A</v>
      </c>
      <c r="C1441" s="2" t="e">
        <v>#N/A</v>
      </c>
      <c r="D1441" s="4">
        <v>0.94328000000000001</v>
      </c>
      <c r="E1441" s="4">
        <v>0.77710000000000001</v>
      </c>
      <c r="F1441" s="4">
        <v>3.3930000000000002E-2</v>
      </c>
    </row>
    <row r="1442" spans="1:6" x14ac:dyDescent="0.35">
      <c r="A1442" s="2" t="s">
        <v>2005</v>
      </c>
      <c r="B1442" s="6" t="e">
        <v>#N/A</v>
      </c>
      <c r="C1442" s="2" t="e">
        <v>#N/A</v>
      </c>
      <c r="D1442" s="4">
        <v>0.82176000000000005</v>
      </c>
      <c r="E1442" s="4">
        <v>0.65312000000000003</v>
      </c>
      <c r="F1442" s="4">
        <v>2.5600000000000002E-3</v>
      </c>
    </row>
    <row r="1443" spans="1:6" x14ac:dyDescent="0.35">
      <c r="A1443" s="2" t="s">
        <v>2006</v>
      </c>
      <c r="B1443" s="6" t="s">
        <v>1467</v>
      </c>
      <c r="C1443" s="2" t="s">
        <v>461</v>
      </c>
      <c r="D1443" s="4">
        <v>0.68799999999999994</v>
      </c>
      <c r="E1443" s="4">
        <v>0.53664000000000001</v>
      </c>
      <c r="F1443" s="4">
        <v>9.6000000000000002E-4</v>
      </c>
    </row>
    <row r="1444" spans="1:6" x14ac:dyDescent="0.35">
      <c r="A1444" s="2" t="s">
        <v>2007</v>
      </c>
      <c r="B1444" s="6" t="s">
        <v>1467</v>
      </c>
      <c r="C1444" s="2" t="s">
        <v>461</v>
      </c>
      <c r="D1444" s="4">
        <v>0.70528000000000002</v>
      </c>
      <c r="E1444" s="4">
        <v>0.55391999999999997</v>
      </c>
      <c r="F1444" s="4">
        <v>9.6000000000000002E-4</v>
      </c>
    </row>
    <row r="1445" spans="1:6" x14ac:dyDescent="0.35">
      <c r="A1445" s="2" t="s">
        <v>2008</v>
      </c>
      <c r="B1445" s="6" t="e">
        <v>#N/A</v>
      </c>
      <c r="C1445" s="2" t="e">
        <v>#N/A</v>
      </c>
      <c r="D1445" s="4">
        <v>0.96960000000000002</v>
      </c>
      <c r="E1445" s="4">
        <v>0.79744000000000004</v>
      </c>
      <c r="F1445" s="4">
        <v>6.4000000000000003E-3</v>
      </c>
    </row>
    <row r="1446" spans="1:6" x14ac:dyDescent="0.35">
      <c r="A1446" s="2" t="s">
        <v>2009</v>
      </c>
      <c r="B1446" s="6" t="s">
        <v>2010</v>
      </c>
      <c r="C1446" s="2" t="s">
        <v>461</v>
      </c>
      <c r="D1446" s="4">
        <v>0.89312000000000002</v>
      </c>
      <c r="E1446" s="4">
        <v>0.7056</v>
      </c>
      <c r="F1446" s="4">
        <v>7.3600000000000002E-3</v>
      </c>
    </row>
    <row r="1447" spans="1:6" x14ac:dyDescent="0.35">
      <c r="A1447" s="2" t="s">
        <v>2011</v>
      </c>
      <c r="B1447" s="6" t="s">
        <v>2012</v>
      </c>
      <c r="C1447" s="2" t="s">
        <v>461</v>
      </c>
      <c r="D1447" s="4">
        <v>0.78720000000000001</v>
      </c>
      <c r="E1447" s="4">
        <v>0.50783999999999996</v>
      </c>
      <c r="F1447" s="4">
        <v>8.3199999999999993E-3</v>
      </c>
    </row>
    <row r="1448" spans="1:6" x14ac:dyDescent="0.35">
      <c r="A1448" s="2" t="s">
        <v>2013</v>
      </c>
      <c r="B1448" s="6" t="s">
        <v>2014</v>
      </c>
      <c r="C1448" s="2" t="s">
        <v>461</v>
      </c>
      <c r="D1448" s="4">
        <v>0.90047999999999995</v>
      </c>
      <c r="E1448" s="4">
        <v>0.71264000000000005</v>
      </c>
      <c r="F1448" s="4">
        <v>7.6800000000000002E-3</v>
      </c>
    </row>
    <row r="1449" spans="1:6" x14ac:dyDescent="0.35">
      <c r="A1449" s="2" t="s">
        <v>2015</v>
      </c>
      <c r="B1449" s="6" t="s">
        <v>2016</v>
      </c>
      <c r="C1449" s="2" t="s">
        <v>461</v>
      </c>
      <c r="D1449" s="4">
        <v>0.79456000000000004</v>
      </c>
      <c r="E1449" s="4">
        <v>0.51488</v>
      </c>
      <c r="F1449" s="4">
        <v>8.6400000000000001E-3</v>
      </c>
    </row>
    <row r="1450" spans="1:6" x14ac:dyDescent="0.35">
      <c r="A1450" s="2" t="s">
        <v>2017</v>
      </c>
      <c r="B1450" s="6" t="s">
        <v>2018</v>
      </c>
      <c r="C1450" s="2" t="s">
        <v>461</v>
      </c>
      <c r="D1450" s="4">
        <v>0.18944</v>
      </c>
      <c r="E1450" s="4">
        <v>0.11136</v>
      </c>
      <c r="F1450" s="4">
        <v>1.6000000000000001E-3</v>
      </c>
    </row>
    <row r="1451" spans="1:6" x14ac:dyDescent="0.35">
      <c r="A1451" s="2" t="s">
        <v>2019</v>
      </c>
      <c r="B1451" s="6" t="s">
        <v>2020</v>
      </c>
      <c r="C1451" s="2" t="s">
        <v>461</v>
      </c>
      <c r="D1451" s="4">
        <v>0.61184000000000005</v>
      </c>
      <c r="E1451" s="4">
        <v>0.46560000000000001</v>
      </c>
      <c r="F1451" s="4">
        <v>5.4400000000000004E-3</v>
      </c>
    </row>
    <row r="1452" spans="1:6" x14ac:dyDescent="0.35">
      <c r="A1452" s="2" t="s">
        <v>2021</v>
      </c>
      <c r="B1452" s="6" t="e">
        <v>#N/A</v>
      </c>
      <c r="C1452" s="2" t="e">
        <v>#N/A</v>
      </c>
      <c r="D1452" s="4">
        <v>0.72160000000000002</v>
      </c>
      <c r="E1452" s="4">
        <v>0.62527999999999995</v>
      </c>
      <c r="F1452" s="4">
        <v>1.2800000000000001E-3</v>
      </c>
    </row>
    <row r="1453" spans="1:6" x14ac:dyDescent="0.35">
      <c r="A1453" s="2" t="s">
        <v>2022</v>
      </c>
      <c r="B1453" s="6" t="s">
        <v>1467</v>
      </c>
      <c r="C1453" s="2" t="s">
        <v>461</v>
      </c>
      <c r="D1453" s="4">
        <v>0.74143999999999999</v>
      </c>
      <c r="E1453" s="4">
        <v>0.63104000000000005</v>
      </c>
      <c r="F1453" s="4">
        <v>6.7200000000000003E-3</v>
      </c>
    </row>
    <row r="1454" spans="1:6" x14ac:dyDescent="0.35">
      <c r="A1454" s="2" t="s">
        <v>2023</v>
      </c>
      <c r="B1454" s="6" t="s">
        <v>2024</v>
      </c>
      <c r="C1454" s="2" t="s">
        <v>461</v>
      </c>
      <c r="D1454" s="4">
        <v>0.67359999999999998</v>
      </c>
      <c r="E1454" s="4">
        <v>0.51648000000000005</v>
      </c>
      <c r="F1454" s="4">
        <v>3.8400000000000001E-3</v>
      </c>
    </row>
    <row r="1455" spans="1:6" x14ac:dyDescent="0.35">
      <c r="A1455" s="2" t="s">
        <v>2025</v>
      </c>
      <c r="B1455" s="6" t="s">
        <v>1467</v>
      </c>
      <c r="C1455" s="2" t="s">
        <v>461</v>
      </c>
      <c r="D1455" s="4">
        <v>0.70016</v>
      </c>
      <c r="E1455" s="4">
        <v>0.55167999999999995</v>
      </c>
      <c r="F1455" s="4">
        <v>4.4799999999999996E-3</v>
      </c>
    </row>
    <row r="1456" spans="1:6" x14ac:dyDescent="0.35">
      <c r="A1456" s="2" t="s">
        <v>2026</v>
      </c>
      <c r="B1456" s="6" t="s">
        <v>2027</v>
      </c>
      <c r="C1456" s="2" t="s">
        <v>461</v>
      </c>
      <c r="D1456" s="4">
        <v>0.76895999999999998</v>
      </c>
      <c r="E1456" s="4">
        <v>0.62207999999999997</v>
      </c>
      <c r="F1456" s="4">
        <v>3.8400000000000001E-3</v>
      </c>
    </row>
    <row r="1457" spans="1:6" x14ac:dyDescent="0.35">
      <c r="A1457" s="2" t="s">
        <v>2028</v>
      </c>
      <c r="B1457" s="6" t="s">
        <v>2029</v>
      </c>
      <c r="C1457" s="2" t="s">
        <v>461</v>
      </c>
      <c r="D1457" s="4">
        <v>0.78912000000000004</v>
      </c>
      <c r="E1457" s="4">
        <v>0.64192000000000005</v>
      </c>
      <c r="F1457" s="4">
        <v>4.1599999999999996E-3</v>
      </c>
    </row>
    <row r="1458" spans="1:6" x14ac:dyDescent="0.35">
      <c r="A1458" s="2" t="s">
        <v>2030</v>
      </c>
      <c r="B1458" s="6" t="s">
        <v>2031</v>
      </c>
      <c r="C1458" s="2" t="s">
        <v>461</v>
      </c>
      <c r="D1458" s="4">
        <v>0.81023999999999996</v>
      </c>
      <c r="E1458" s="4">
        <v>0.66303999999999996</v>
      </c>
      <c r="F1458" s="4">
        <v>4.1599999999999996E-3</v>
      </c>
    </row>
    <row r="1459" spans="1:6" x14ac:dyDescent="0.35">
      <c r="A1459" s="2" t="s">
        <v>2032</v>
      </c>
      <c r="B1459" s="6" t="s">
        <v>2033</v>
      </c>
      <c r="C1459" s="2" t="s">
        <v>461</v>
      </c>
      <c r="D1459" s="4">
        <v>0.77151999999999998</v>
      </c>
      <c r="E1459" s="4">
        <v>0.62687999999999999</v>
      </c>
      <c r="F1459" s="4">
        <v>4.1599999999999996E-3</v>
      </c>
    </row>
    <row r="1460" spans="1:6" x14ac:dyDescent="0.35">
      <c r="A1460" s="2" t="s">
        <v>2034</v>
      </c>
      <c r="B1460" s="6" t="s">
        <v>2035</v>
      </c>
      <c r="C1460" s="2" t="s">
        <v>461</v>
      </c>
      <c r="D1460" s="4">
        <v>0.75904000000000005</v>
      </c>
      <c r="E1460" s="4">
        <v>0.61312</v>
      </c>
      <c r="F1460" s="4">
        <v>3.8400000000000001E-3</v>
      </c>
    </row>
    <row r="1461" spans="1:6" x14ac:dyDescent="0.35">
      <c r="A1461" s="2" t="s">
        <v>2036</v>
      </c>
      <c r="B1461" s="6" t="s">
        <v>2037</v>
      </c>
      <c r="C1461" s="2" t="s">
        <v>461</v>
      </c>
      <c r="D1461" s="4">
        <v>0.68799999999999994</v>
      </c>
      <c r="E1461" s="4">
        <v>0.53215999999999997</v>
      </c>
      <c r="F1461" s="4">
        <v>4.1599999999999996E-3</v>
      </c>
    </row>
    <row r="1462" spans="1:6" x14ac:dyDescent="0.35">
      <c r="A1462" s="2" t="s">
        <v>2038</v>
      </c>
      <c r="B1462" s="6" t="s">
        <v>2039</v>
      </c>
      <c r="C1462" s="2" t="s">
        <v>461</v>
      </c>
      <c r="D1462" s="4">
        <v>0.67071999999999998</v>
      </c>
      <c r="E1462" s="4">
        <v>0.51488</v>
      </c>
      <c r="F1462" s="4">
        <v>3.8400000000000001E-3</v>
      </c>
    </row>
    <row r="1463" spans="1:6" x14ac:dyDescent="0.35">
      <c r="A1463" s="2" t="s">
        <v>2040</v>
      </c>
      <c r="B1463" s="6" t="s">
        <v>1467</v>
      </c>
      <c r="C1463" s="2" t="s">
        <v>461</v>
      </c>
      <c r="D1463" s="4">
        <v>0.66720000000000002</v>
      </c>
      <c r="E1463" s="4">
        <v>0.51200000000000001</v>
      </c>
      <c r="F1463" s="4">
        <v>3.8400000000000001E-3</v>
      </c>
    </row>
    <row r="1464" spans="1:6" x14ac:dyDescent="0.35">
      <c r="A1464" s="2" t="s">
        <v>2041</v>
      </c>
      <c r="B1464" s="6" t="s">
        <v>1467</v>
      </c>
      <c r="C1464" s="2" t="s">
        <v>461</v>
      </c>
      <c r="D1464" s="4">
        <v>0.67103999999999997</v>
      </c>
      <c r="E1464" s="4">
        <v>0.52639999999999998</v>
      </c>
      <c r="F1464" s="4">
        <v>4.1599999999999996E-3</v>
      </c>
    </row>
    <row r="1465" spans="1:6" x14ac:dyDescent="0.35">
      <c r="A1465" s="2" t="s">
        <v>2042</v>
      </c>
      <c r="B1465" s="6" t="e">
        <v>#N/A</v>
      </c>
      <c r="C1465" s="2" t="e">
        <v>#N/A</v>
      </c>
      <c r="D1465" s="4">
        <v>0.57567999999999997</v>
      </c>
      <c r="E1465" s="4">
        <v>0.4224</v>
      </c>
      <c r="F1465" s="4">
        <v>1.2800000000000001E-3</v>
      </c>
    </row>
    <row r="1466" spans="1:6" x14ac:dyDescent="0.35">
      <c r="A1466" s="2" t="s">
        <v>2043</v>
      </c>
      <c r="B1466" s="6" t="s">
        <v>2044</v>
      </c>
      <c r="C1466" s="2" t="s">
        <v>461</v>
      </c>
      <c r="D1466" s="4">
        <v>0.66976000000000002</v>
      </c>
      <c r="E1466" s="4">
        <v>0.51392000000000004</v>
      </c>
      <c r="F1466" s="4">
        <v>3.8400000000000001E-3</v>
      </c>
    </row>
    <row r="1467" spans="1:6" x14ac:dyDescent="0.35">
      <c r="A1467" s="2" t="s">
        <v>2045</v>
      </c>
      <c r="B1467" s="6" t="s">
        <v>2044</v>
      </c>
      <c r="C1467" s="2" t="s">
        <v>461</v>
      </c>
      <c r="D1467" s="4">
        <v>0.65247999999999995</v>
      </c>
      <c r="E1467" s="4">
        <v>0.50783999999999996</v>
      </c>
      <c r="F1467" s="4">
        <v>3.8400000000000001E-3</v>
      </c>
    </row>
    <row r="1468" spans="1:6" x14ac:dyDescent="0.35">
      <c r="A1468" s="2" t="s">
        <v>2046</v>
      </c>
      <c r="B1468" s="6" t="s">
        <v>2047</v>
      </c>
      <c r="C1468" s="2" t="s">
        <v>461</v>
      </c>
      <c r="D1468" s="4">
        <v>0.76863999999999999</v>
      </c>
      <c r="E1468" s="4">
        <v>0.62175999999999998</v>
      </c>
      <c r="F1468" s="4">
        <v>3.8400000000000001E-3</v>
      </c>
    </row>
    <row r="1469" spans="1:6" x14ac:dyDescent="0.35">
      <c r="A1469" s="2" t="s">
        <v>2048</v>
      </c>
      <c r="B1469" s="6" t="e">
        <v>#N/A</v>
      </c>
      <c r="C1469" s="2" t="e">
        <v>#N/A</v>
      </c>
      <c r="D1469" s="4">
        <v>0.57567999999999997</v>
      </c>
      <c r="E1469" s="4">
        <v>0.4224</v>
      </c>
      <c r="F1469" s="4">
        <v>1.2800000000000001E-3</v>
      </c>
    </row>
    <row r="1470" spans="1:6" x14ac:dyDescent="0.35">
      <c r="A1470" s="2" t="s">
        <v>2049</v>
      </c>
      <c r="B1470" s="6" t="s">
        <v>1484</v>
      </c>
      <c r="C1470" s="2" t="s">
        <v>461</v>
      </c>
      <c r="D1470" s="4">
        <v>0.68630999999999998</v>
      </c>
      <c r="E1470" s="4">
        <v>0.53159000000000001</v>
      </c>
      <c r="F1470" s="4">
        <v>4.1599999999999996E-3</v>
      </c>
    </row>
    <row r="1471" spans="1:6" x14ac:dyDescent="0.35">
      <c r="A1471" s="2" t="s">
        <v>2050</v>
      </c>
      <c r="B1471" s="6" t="e">
        <v>#N/A</v>
      </c>
      <c r="C1471" s="2" t="e">
        <v>#N/A</v>
      </c>
      <c r="D1471" s="4">
        <v>0.66112000000000004</v>
      </c>
      <c r="E1471" s="4">
        <v>0.51088</v>
      </c>
      <c r="F1471" s="4">
        <v>3.8400000000000001E-3</v>
      </c>
    </row>
    <row r="1472" spans="1:6" x14ac:dyDescent="0.35">
      <c r="A1472" s="2" t="s">
        <v>2051</v>
      </c>
      <c r="B1472" s="6" t="s">
        <v>1467</v>
      </c>
      <c r="C1472" s="2" t="s">
        <v>461</v>
      </c>
      <c r="D1472" s="4">
        <v>0.68352000000000002</v>
      </c>
      <c r="E1472" s="4">
        <v>0.52032</v>
      </c>
      <c r="F1472" s="4">
        <v>3.8400000000000001E-3</v>
      </c>
    </row>
    <row r="1473" spans="1:6" x14ac:dyDescent="0.35">
      <c r="A1473" s="2" t="s">
        <v>2052</v>
      </c>
      <c r="B1473" s="6" t="e">
        <v>#N/A</v>
      </c>
      <c r="C1473" s="2" t="e">
        <v>#N/A</v>
      </c>
      <c r="D1473" s="4">
        <v>0.68159999999999998</v>
      </c>
      <c r="E1473" s="4">
        <v>0.51551999999999998</v>
      </c>
      <c r="F1473" s="4">
        <v>3.8400000000000001E-3</v>
      </c>
    </row>
    <row r="1474" spans="1:6" x14ac:dyDescent="0.35">
      <c r="A1474" s="2" t="s">
        <v>2053</v>
      </c>
      <c r="B1474" s="6" t="s">
        <v>2054</v>
      </c>
      <c r="C1474" s="2" t="s">
        <v>461</v>
      </c>
      <c r="D1474" s="4">
        <v>0.76480000000000004</v>
      </c>
      <c r="E1474" s="4">
        <v>0.62016000000000004</v>
      </c>
      <c r="F1474" s="4">
        <v>3.8400000000000001E-3</v>
      </c>
    </row>
    <row r="1475" spans="1:6" x14ac:dyDescent="0.35">
      <c r="A1475" s="2" t="s">
        <v>2055</v>
      </c>
      <c r="B1475" s="6" t="s">
        <v>2056</v>
      </c>
      <c r="C1475" s="2" t="s">
        <v>461</v>
      </c>
      <c r="D1475" s="4">
        <v>0.85311999999999999</v>
      </c>
      <c r="E1475" s="4">
        <v>0.69311999999999996</v>
      </c>
      <c r="F1475" s="4">
        <v>4.1599999999999996E-3</v>
      </c>
    </row>
    <row r="1476" spans="1:6" x14ac:dyDescent="0.35">
      <c r="A1476" s="2" t="s">
        <v>2057</v>
      </c>
      <c r="B1476" s="6" t="s">
        <v>2058</v>
      </c>
      <c r="C1476" s="2" t="s">
        <v>461</v>
      </c>
      <c r="D1476" s="4">
        <v>0.67903999999999998</v>
      </c>
      <c r="E1476" s="4">
        <v>0.52351999999999999</v>
      </c>
      <c r="F1476" s="4">
        <v>3.8400000000000001E-3</v>
      </c>
    </row>
    <row r="1477" spans="1:6" x14ac:dyDescent="0.35">
      <c r="A1477" s="2" t="s">
        <v>2059</v>
      </c>
      <c r="B1477" s="6" t="s">
        <v>2060</v>
      </c>
      <c r="C1477" s="2" t="s">
        <v>461</v>
      </c>
      <c r="D1477" s="4">
        <v>0.68511999999999995</v>
      </c>
      <c r="E1477" s="4">
        <v>0.51104000000000005</v>
      </c>
      <c r="F1477" s="4">
        <v>3.8400000000000001E-3</v>
      </c>
    </row>
    <row r="1478" spans="1:6" x14ac:dyDescent="0.35">
      <c r="A1478" s="2" t="s">
        <v>2061</v>
      </c>
      <c r="B1478" s="6" t="s">
        <v>2058</v>
      </c>
      <c r="C1478" s="2" t="s">
        <v>461</v>
      </c>
      <c r="D1478" s="4">
        <v>0.66239999999999999</v>
      </c>
      <c r="E1478" s="4">
        <v>0.51776</v>
      </c>
      <c r="F1478" s="4">
        <v>4.1599999999999996E-3</v>
      </c>
    </row>
    <row r="1479" spans="1:6" x14ac:dyDescent="0.35">
      <c r="A1479" s="2" t="s">
        <v>2062</v>
      </c>
      <c r="B1479" s="6" t="s">
        <v>2063</v>
      </c>
      <c r="C1479" s="2" t="s">
        <v>461</v>
      </c>
      <c r="D1479" s="4">
        <v>0.83391999999999999</v>
      </c>
      <c r="E1479" s="4">
        <v>0.67423999999999995</v>
      </c>
      <c r="F1479" s="4">
        <v>4.1599999999999996E-3</v>
      </c>
    </row>
    <row r="1480" spans="1:6" x14ac:dyDescent="0.35">
      <c r="A1480" s="2" t="s">
        <v>2064</v>
      </c>
      <c r="B1480" s="6" t="s">
        <v>2065</v>
      </c>
      <c r="C1480" s="2" t="s">
        <v>461</v>
      </c>
      <c r="D1480" s="4">
        <v>0.85568</v>
      </c>
      <c r="E1480" s="4">
        <v>0.69567999999999997</v>
      </c>
      <c r="F1480" s="4">
        <v>4.1599999999999996E-3</v>
      </c>
    </row>
    <row r="1481" spans="1:6" x14ac:dyDescent="0.35">
      <c r="A1481" s="2" t="s">
        <v>2066</v>
      </c>
      <c r="B1481" s="6" t="s">
        <v>2054</v>
      </c>
      <c r="C1481" s="2" t="s">
        <v>461</v>
      </c>
      <c r="D1481" s="4">
        <v>0.76480000000000004</v>
      </c>
      <c r="E1481" s="4">
        <v>0.62016000000000004</v>
      </c>
      <c r="F1481" s="4">
        <v>3.8400000000000001E-3</v>
      </c>
    </row>
    <row r="1482" spans="1:6" x14ac:dyDescent="0.35">
      <c r="A1482" s="2" t="s">
        <v>2067</v>
      </c>
      <c r="B1482" s="6" t="s">
        <v>2056</v>
      </c>
      <c r="C1482" s="2" t="s">
        <v>461</v>
      </c>
      <c r="D1482" s="4">
        <v>0.85311999999999999</v>
      </c>
      <c r="E1482" s="4">
        <v>0.69311999999999996</v>
      </c>
      <c r="F1482" s="4">
        <v>4.1599999999999996E-3</v>
      </c>
    </row>
    <row r="1483" spans="1:6" x14ac:dyDescent="0.35">
      <c r="A1483" s="2" t="s">
        <v>2068</v>
      </c>
      <c r="B1483" s="6" t="e">
        <v>#N/A</v>
      </c>
      <c r="C1483" s="2" t="e">
        <v>#N/A</v>
      </c>
      <c r="D1483" s="4">
        <v>0.67405000000000004</v>
      </c>
      <c r="E1483" s="4">
        <v>0.52178999999999998</v>
      </c>
      <c r="F1483" s="4">
        <v>3.9399999999999999E-3</v>
      </c>
    </row>
    <row r="1484" spans="1:6" x14ac:dyDescent="0.35">
      <c r="A1484" s="2" t="s">
        <v>2069</v>
      </c>
      <c r="B1484" s="6" t="e">
        <v>#N/A</v>
      </c>
      <c r="C1484" s="2" t="e">
        <v>#N/A</v>
      </c>
      <c r="D1484" s="4">
        <v>0.35149999999999998</v>
      </c>
      <c r="E1484" s="4">
        <v>0.21489</v>
      </c>
      <c r="F1484" s="4">
        <v>7.1599999999999997E-3</v>
      </c>
    </row>
    <row r="1485" spans="1:6" x14ac:dyDescent="0.35">
      <c r="A1485" s="2" t="s">
        <v>2070</v>
      </c>
      <c r="B1485" s="6" t="s">
        <v>2071</v>
      </c>
      <c r="C1485" s="2" t="s">
        <v>461</v>
      </c>
      <c r="D1485" s="4">
        <v>0.33376</v>
      </c>
      <c r="E1485" s="4">
        <v>0.15551999999999999</v>
      </c>
      <c r="F1485" s="4">
        <v>1.92E-3</v>
      </c>
    </row>
    <row r="1486" spans="1:6" x14ac:dyDescent="0.35">
      <c r="A1486" s="2" t="s">
        <v>2072</v>
      </c>
      <c r="B1486" s="6" t="s">
        <v>2073</v>
      </c>
      <c r="C1486" s="2" t="s">
        <v>461</v>
      </c>
      <c r="D1486" s="4">
        <v>0.32096000000000002</v>
      </c>
      <c r="E1486" s="4">
        <v>0.14335999999999999</v>
      </c>
      <c r="F1486" s="4">
        <v>1.2800000000000001E-3</v>
      </c>
    </row>
    <row r="1487" spans="1:6" x14ac:dyDescent="0.35">
      <c r="A1487" s="2" t="s">
        <v>2074</v>
      </c>
      <c r="B1487" s="6" t="s">
        <v>2075</v>
      </c>
      <c r="C1487" s="2" t="s">
        <v>461</v>
      </c>
      <c r="D1487" s="4">
        <v>0.23808000000000001</v>
      </c>
      <c r="E1487" s="4">
        <v>0.10656</v>
      </c>
      <c r="F1487" s="4">
        <v>9.6000000000000002E-4</v>
      </c>
    </row>
    <row r="1488" spans="1:6" x14ac:dyDescent="0.35">
      <c r="A1488" s="2" t="s">
        <v>2076</v>
      </c>
      <c r="B1488" s="6" t="s">
        <v>2077</v>
      </c>
      <c r="C1488" s="2" t="s">
        <v>461</v>
      </c>
      <c r="D1488" s="4">
        <v>0.23008000000000001</v>
      </c>
      <c r="E1488" s="4">
        <v>9.9519999999999997E-2</v>
      </c>
      <c r="F1488" s="4">
        <v>9.6000000000000002E-4</v>
      </c>
    </row>
    <row r="1489" spans="1:6" x14ac:dyDescent="0.35">
      <c r="A1489" s="2" t="s">
        <v>2078</v>
      </c>
      <c r="B1489" s="6" t="e">
        <v>#N/A</v>
      </c>
      <c r="C1489" s="2" t="e">
        <v>#N/A</v>
      </c>
      <c r="D1489" s="4">
        <v>0.30854999999999999</v>
      </c>
      <c r="E1489" s="4">
        <v>0.17893999999999999</v>
      </c>
      <c r="F1489" s="4">
        <v>1.6000000000000001E-4</v>
      </c>
    </row>
    <row r="1490" spans="1:6" x14ac:dyDescent="0.35">
      <c r="A1490" s="2" t="s">
        <v>2079</v>
      </c>
      <c r="B1490" s="6" t="s">
        <v>2080</v>
      </c>
      <c r="C1490" s="2" t="s">
        <v>461</v>
      </c>
      <c r="D1490" s="4">
        <v>0.37215999999999999</v>
      </c>
      <c r="E1490" s="4">
        <v>0.19072</v>
      </c>
      <c r="F1490" s="4">
        <v>2.8800000000000002E-3</v>
      </c>
    </row>
    <row r="1491" spans="1:6" x14ac:dyDescent="0.35">
      <c r="A1491" s="2" t="s">
        <v>2081</v>
      </c>
      <c r="B1491" s="6" t="s">
        <v>2082</v>
      </c>
      <c r="C1491" s="2" t="s">
        <v>461</v>
      </c>
      <c r="D1491" s="4">
        <v>0.34048</v>
      </c>
      <c r="E1491" s="4">
        <v>0.16639999999999999</v>
      </c>
      <c r="F1491" s="4">
        <v>2.8800000000000002E-3</v>
      </c>
    </row>
    <row r="1492" spans="1:6" x14ac:dyDescent="0.35">
      <c r="A1492" s="2" t="s">
        <v>2083</v>
      </c>
      <c r="B1492" s="6" t="s">
        <v>2084</v>
      </c>
      <c r="C1492" s="2" t="s">
        <v>461</v>
      </c>
      <c r="D1492" s="4">
        <v>0.39839999999999998</v>
      </c>
      <c r="E1492" s="4">
        <v>0.23680000000000001</v>
      </c>
      <c r="F1492" s="4">
        <v>2.8800000000000002E-3</v>
      </c>
    </row>
    <row r="1493" spans="1:6" x14ac:dyDescent="0.35">
      <c r="A1493" s="2" t="s">
        <v>2085</v>
      </c>
      <c r="B1493" s="6" t="s">
        <v>2086</v>
      </c>
      <c r="C1493" s="2" t="s">
        <v>461</v>
      </c>
      <c r="D1493" s="4">
        <v>0.34367999999999999</v>
      </c>
      <c r="E1493" s="4">
        <v>0.17055999999999999</v>
      </c>
      <c r="F1493" s="4">
        <v>1.92E-3</v>
      </c>
    </row>
    <row r="1494" spans="1:6" x14ac:dyDescent="0.35">
      <c r="A1494" s="2" t="s">
        <v>2087</v>
      </c>
      <c r="B1494" s="6" t="s">
        <v>1467</v>
      </c>
      <c r="C1494" s="2" t="s">
        <v>461</v>
      </c>
      <c r="D1494" s="4">
        <v>0.39295999999999998</v>
      </c>
      <c r="E1494" s="4">
        <v>0.24032000000000001</v>
      </c>
      <c r="F1494" s="4">
        <v>3.2000000000000002E-3</v>
      </c>
    </row>
    <row r="1495" spans="1:6" x14ac:dyDescent="0.35">
      <c r="A1495" s="2" t="s">
        <v>2088</v>
      </c>
      <c r="B1495" s="6" t="s">
        <v>1467</v>
      </c>
      <c r="C1495" s="2" t="s">
        <v>461</v>
      </c>
      <c r="D1495" s="4">
        <v>0.48287999999999998</v>
      </c>
      <c r="E1495" s="4">
        <v>0.33023999999999998</v>
      </c>
      <c r="F1495" s="4">
        <v>3.2000000000000002E-3</v>
      </c>
    </row>
    <row r="1496" spans="1:6" x14ac:dyDescent="0.35">
      <c r="A1496" s="2" t="s">
        <v>2089</v>
      </c>
      <c r="B1496" s="6" t="s">
        <v>1467</v>
      </c>
      <c r="C1496" s="2" t="s">
        <v>461</v>
      </c>
      <c r="D1496" s="4">
        <v>0.38912000000000002</v>
      </c>
      <c r="E1496" s="4">
        <v>0.23712</v>
      </c>
      <c r="F1496" s="4">
        <v>3.2000000000000002E-3</v>
      </c>
    </row>
    <row r="1497" spans="1:6" x14ac:dyDescent="0.35">
      <c r="A1497" s="2" t="s">
        <v>2090</v>
      </c>
      <c r="B1497" s="6" t="s">
        <v>1467</v>
      </c>
      <c r="C1497" s="2" t="s">
        <v>461</v>
      </c>
      <c r="D1497" s="4">
        <v>0.49664000000000003</v>
      </c>
      <c r="E1497" s="4">
        <v>0.34495999999999999</v>
      </c>
      <c r="F1497" s="4">
        <v>2.5600000000000002E-3</v>
      </c>
    </row>
    <row r="1498" spans="1:6" x14ac:dyDescent="0.35">
      <c r="A1498" s="2" t="s">
        <v>2091</v>
      </c>
      <c r="B1498" s="6" t="s">
        <v>1467</v>
      </c>
      <c r="C1498" s="2" t="s">
        <v>461</v>
      </c>
      <c r="D1498" s="4">
        <v>0.48608000000000001</v>
      </c>
      <c r="E1498" s="4">
        <v>0.33728000000000002</v>
      </c>
      <c r="F1498" s="4">
        <v>2.5600000000000002E-3</v>
      </c>
    </row>
    <row r="1499" spans="1:6" x14ac:dyDescent="0.35">
      <c r="A1499" s="2" t="s">
        <v>2092</v>
      </c>
      <c r="B1499" s="6" t="s">
        <v>1467</v>
      </c>
      <c r="C1499" s="2" t="s">
        <v>461</v>
      </c>
      <c r="D1499" s="4">
        <v>0.52703999999999995</v>
      </c>
      <c r="E1499" s="4">
        <v>0.37472</v>
      </c>
      <c r="F1499" s="4">
        <v>2.8800000000000002E-3</v>
      </c>
    </row>
    <row r="1500" spans="1:6" x14ac:dyDescent="0.35">
      <c r="A1500" s="2" t="s">
        <v>2093</v>
      </c>
      <c r="B1500" s="6" t="s">
        <v>1467</v>
      </c>
      <c r="C1500" s="2" t="s">
        <v>461</v>
      </c>
      <c r="D1500" s="4">
        <v>0.52703999999999995</v>
      </c>
      <c r="E1500" s="4">
        <v>0.37472</v>
      </c>
      <c r="F1500" s="4">
        <v>2.8800000000000002E-3</v>
      </c>
    </row>
    <row r="1501" spans="1:6" x14ac:dyDescent="0.35">
      <c r="A1501" s="2" t="s">
        <v>2094</v>
      </c>
      <c r="B1501" s="6" t="s">
        <v>2095</v>
      </c>
      <c r="C1501" s="2" t="s">
        <v>461</v>
      </c>
      <c r="D1501" s="4">
        <v>4.7681199999999997</v>
      </c>
      <c r="E1501" s="4">
        <v>2.39649</v>
      </c>
      <c r="F1501" s="4">
        <v>1.409E-2</v>
      </c>
    </row>
    <row r="1502" spans="1:6" x14ac:dyDescent="0.35">
      <c r="A1502" s="2" t="s">
        <v>2096</v>
      </c>
      <c r="B1502" s="6" t="e">
        <v>#N/A</v>
      </c>
      <c r="C1502" s="2" t="e">
        <v>#N/A</v>
      </c>
      <c r="D1502" s="4">
        <v>0</v>
      </c>
      <c r="F1502" s="4">
        <v>0</v>
      </c>
    </row>
    <row r="1503" spans="1:6" x14ac:dyDescent="0.35">
      <c r="A1503" s="2" t="s">
        <v>2097</v>
      </c>
      <c r="B1503" s="6" t="e">
        <v>#N/A</v>
      </c>
      <c r="C1503" s="2" t="e">
        <v>#N/A</v>
      </c>
      <c r="D1503" s="4">
        <v>0</v>
      </c>
      <c r="F1503" s="4">
        <v>0</v>
      </c>
    </row>
    <row r="1504" spans="1:6" x14ac:dyDescent="0.35">
      <c r="A1504" s="2" t="s">
        <v>2098</v>
      </c>
      <c r="B1504" s="6" t="e">
        <v>#N/A</v>
      </c>
      <c r="C1504" s="2" t="e">
        <v>#N/A</v>
      </c>
      <c r="D1504" s="4">
        <v>0</v>
      </c>
      <c r="F1504" s="4">
        <v>0</v>
      </c>
    </row>
    <row r="1505" spans="1:6" x14ac:dyDescent="0.35">
      <c r="A1505" s="2" t="s">
        <v>2099</v>
      </c>
      <c r="B1505" s="6" t="e">
        <v>#N/A</v>
      </c>
      <c r="C1505" s="2" t="e">
        <v>#N/A</v>
      </c>
      <c r="D1505" s="4">
        <v>0</v>
      </c>
      <c r="F1505" s="4">
        <v>0</v>
      </c>
    </row>
    <row r="1506" spans="1:6" x14ac:dyDescent="0.35">
      <c r="A1506" s="2" t="s">
        <v>2100</v>
      </c>
      <c r="B1506" s="6" t="e">
        <v>#N/A</v>
      </c>
      <c r="C1506" s="2" t="e">
        <v>#N/A</v>
      </c>
      <c r="D1506" s="4">
        <v>0</v>
      </c>
      <c r="F1506" s="4">
        <v>0</v>
      </c>
    </row>
    <row r="1507" spans="1:6" x14ac:dyDescent="0.35">
      <c r="A1507" s="2" t="s">
        <v>2101</v>
      </c>
      <c r="B1507" s="6" t="e">
        <v>#N/A</v>
      </c>
      <c r="C1507" s="2" t="e">
        <v>#N/A</v>
      </c>
      <c r="D1507" s="4">
        <v>0</v>
      </c>
      <c r="F1507" s="4">
        <v>0</v>
      </c>
    </row>
    <row r="1508" spans="1:6" x14ac:dyDescent="0.35">
      <c r="A1508" s="2" t="s">
        <v>2102</v>
      </c>
      <c r="B1508" s="6" t="e">
        <v>#N/A</v>
      </c>
      <c r="C1508" s="2" t="e">
        <v>#N/A</v>
      </c>
      <c r="D1508" s="4">
        <v>31.824870000000001</v>
      </c>
      <c r="E1508" s="4">
        <v>21.673380000000002</v>
      </c>
      <c r="F1508" s="4">
        <v>0.29572999999999999</v>
      </c>
    </row>
    <row r="1509" spans="1:6" x14ac:dyDescent="0.35">
      <c r="A1509" s="2" t="s">
        <v>2103</v>
      </c>
      <c r="B1509" s="6" t="e">
        <v>#N/A</v>
      </c>
      <c r="C1509" s="2" t="e">
        <v>#N/A</v>
      </c>
      <c r="D1509" s="4">
        <v>191.79522</v>
      </c>
      <c r="E1509" s="4">
        <v>120.87297</v>
      </c>
      <c r="F1509" s="4">
        <v>1.2619400000000001</v>
      </c>
    </row>
    <row r="1510" spans="1:6" x14ac:dyDescent="0.35">
      <c r="A1510" s="2" t="s">
        <v>2104</v>
      </c>
      <c r="B1510" s="6" t="e">
        <v>#N/A</v>
      </c>
      <c r="C1510" s="2" t="e">
        <v>#N/A</v>
      </c>
      <c r="D1510" s="4">
        <v>44.808030000000002</v>
      </c>
      <c r="E1510" s="4">
        <v>34.49747</v>
      </c>
      <c r="F1510" s="4">
        <v>0.45479999999999998</v>
      </c>
    </row>
    <row r="1511" spans="1:6" x14ac:dyDescent="0.35">
      <c r="A1511" s="2" t="s">
        <v>2105</v>
      </c>
      <c r="B1511" s="6" t="e">
        <v>#N/A</v>
      </c>
      <c r="C1511" s="2" t="e">
        <v>#N/A</v>
      </c>
      <c r="D1511" s="4">
        <v>15.83107</v>
      </c>
      <c r="E1511" s="4">
        <v>9.2248599999999996</v>
      </c>
      <c r="F1511" s="4">
        <v>0.14574999999999999</v>
      </c>
    </row>
    <row r="1512" spans="1:6" x14ac:dyDescent="0.35">
      <c r="A1512" s="2" t="s">
        <v>2106</v>
      </c>
      <c r="B1512" s="6" t="e">
        <v>#N/A</v>
      </c>
      <c r="C1512" s="2" t="e">
        <v>#N/A</v>
      </c>
      <c r="D1512" s="4">
        <v>146.4051</v>
      </c>
      <c r="E1512" s="4">
        <v>75.976280000000003</v>
      </c>
      <c r="F1512" s="4">
        <v>0.76851000000000003</v>
      </c>
    </row>
    <row r="1513" spans="1:6" x14ac:dyDescent="0.35">
      <c r="A1513" s="2" t="s">
        <v>2107</v>
      </c>
      <c r="B1513" s="6" t="e">
        <v>#N/A</v>
      </c>
      <c r="C1513" s="2" t="e">
        <v>#N/A</v>
      </c>
      <c r="D1513" s="4">
        <v>62.239310000000003</v>
      </c>
      <c r="E1513" s="4">
        <v>51.627609999999997</v>
      </c>
      <c r="F1513" s="4">
        <v>0.75593999999999995</v>
      </c>
    </row>
    <row r="1514" spans="1:6" x14ac:dyDescent="0.35">
      <c r="A1514" s="2" t="s">
        <v>2108</v>
      </c>
      <c r="B1514" s="6" t="e">
        <v>#N/A</v>
      </c>
      <c r="C1514" s="2" t="e">
        <v>#N/A</v>
      </c>
      <c r="D1514" s="4">
        <v>21.186679999999999</v>
      </c>
      <c r="E1514" s="4">
        <v>14.463609999999999</v>
      </c>
      <c r="F1514" s="4">
        <v>0.26261000000000001</v>
      </c>
    </row>
    <row r="1515" spans="1:6" x14ac:dyDescent="0.35">
      <c r="A1515" s="2" t="s">
        <v>2109</v>
      </c>
      <c r="B1515" s="6" t="e">
        <v>#N/A</v>
      </c>
      <c r="C1515" s="2" t="e">
        <v>#N/A</v>
      </c>
      <c r="D1515" s="4">
        <v>178.00327999999999</v>
      </c>
      <c r="E1515" s="4">
        <v>107.05517</v>
      </c>
      <c r="F1515" s="4">
        <v>1.2878000000000001</v>
      </c>
    </row>
    <row r="1516" spans="1:6" x14ac:dyDescent="0.35">
      <c r="A1516" s="2" t="s">
        <v>2110</v>
      </c>
      <c r="B1516" s="6" t="e">
        <v>#N/A</v>
      </c>
      <c r="C1516" s="2" t="e">
        <v>#N/A</v>
      </c>
      <c r="D1516" s="4">
        <v>83.159540000000007</v>
      </c>
      <c r="E1516" s="4">
        <v>72.202280000000002</v>
      </c>
      <c r="F1516" s="4">
        <v>1.1014999999999999</v>
      </c>
    </row>
    <row r="1517" spans="1:6" x14ac:dyDescent="0.35">
      <c r="A1517" s="2" t="s">
        <v>2111</v>
      </c>
      <c r="B1517" s="6" t="e">
        <v>#N/A</v>
      </c>
      <c r="C1517" s="2" t="e">
        <v>#N/A</v>
      </c>
      <c r="D1517" s="4">
        <v>23.54928</v>
      </c>
      <c r="E1517" s="4">
        <v>16.765129999999999</v>
      </c>
      <c r="F1517" s="4">
        <v>0.32368999999999998</v>
      </c>
    </row>
    <row r="1518" spans="1:6" x14ac:dyDescent="0.35">
      <c r="A1518" s="2" t="s">
        <v>2112</v>
      </c>
      <c r="B1518" s="6" t="e">
        <v>#N/A</v>
      </c>
      <c r="C1518" s="2" t="e">
        <v>#N/A</v>
      </c>
      <c r="D1518" s="4">
        <v>231.98227</v>
      </c>
      <c r="E1518" s="4">
        <v>160.19745</v>
      </c>
      <c r="F1518" s="4">
        <v>2.1245099999999999</v>
      </c>
    </row>
    <row r="1519" spans="1:6" x14ac:dyDescent="0.35">
      <c r="A1519" s="2" t="s">
        <v>2113</v>
      </c>
      <c r="B1519" s="6" t="e">
        <v>#N/A</v>
      </c>
      <c r="C1519" s="2" t="e">
        <v>#N/A</v>
      </c>
      <c r="D1519" s="4">
        <v>20.1252</v>
      </c>
      <c r="E1519" s="4">
        <v>9.8179599999999994</v>
      </c>
      <c r="F1519" s="4">
        <v>0.14574999999999999</v>
      </c>
    </row>
    <row r="1520" spans="1:6" x14ac:dyDescent="0.35">
      <c r="A1520" s="2" t="s">
        <v>2114</v>
      </c>
      <c r="B1520" s="6" t="e">
        <v>#N/A</v>
      </c>
      <c r="C1520" s="2" t="e">
        <v>#N/A</v>
      </c>
      <c r="D1520" s="4">
        <v>25.480789999999999</v>
      </c>
      <c r="E1520" s="4">
        <v>15.05669</v>
      </c>
      <c r="F1520" s="4">
        <v>0.26261000000000001</v>
      </c>
    </row>
    <row r="1521" spans="1:6" x14ac:dyDescent="0.35">
      <c r="A1521" s="2" t="s">
        <v>2115</v>
      </c>
      <c r="B1521" s="6" t="e">
        <v>#N/A</v>
      </c>
      <c r="C1521" s="2" t="e">
        <v>#N/A</v>
      </c>
      <c r="D1521" s="4">
        <v>7.4652200000000004</v>
      </c>
      <c r="E1521" s="4">
        <v>4.21767</v>
      </c>
      <c r="F1521" s="4">
        <v>4.1270000000000001E-2</v>
      </c>
    </row>
    <row r="1522" spans="1:6" x14ac:dyDescent="0.35">
      <c r="A1522" s="2" t="s">
        <v>2116</v>
      </c>
      <c r="B1522" s="6" t="s">
        <v>2117</v>
      </c>
      <c r="C1522" s="2" t="s">
        <v>461</v>
      </c>
      <c r="D1522" s="4">
        <v>8.33521</v>
      </c>
      <c r="E1522" s="4">
        <v>5.0134800000000004</v>
      </c>
      <c r="F1522" s="4">
        <v>5.0569999999999997E-2</v>
      </c>
    </row>
    <row r="1523" spans="1:6" x14ac:dyDescent="0.35">
      <c r="A1523" s="2" t="s">
        <v>2118</v>
      </c>
      <c r="B1523" s="6" t="e">
        <v>#N/A</v>
      </c>
      <c r="C1523" s="2" t="e">
        <v>#N/A</v>
      </c>
      <c r="D1523" s="4">
        <v>8.4350000000000005</v>
      </c>
      <c r="E1523" s="4">
        <v>5.1725899999999996</v>
      </c>
      <c r="F1523" s="4">
        <v>5.6129999999999999E-2</v>
      </c>
    </row>
    <row r="1524" spans="1:6" x14ac:dyDescent="0.35">
      <c r="A1524" s="2" t="s">
        <v>2119</v>
      </c>
      <c r="B1524" s="6" t="e">
        <v>#N/A</v>
      </c>
      <c r="C1524" s="2" t="e">
        <v>#N/A</v>
      </c>
      <c r="D1524" s="4">
        <v>34.918529999999997</v>
      </c>
      <c r="E1524" s="4">
        <v>20.19013</v>
      </c>
      <c r="F1524" s="4">
        <v>0.23708000000000001</v>
      </c>
    </row>
    <row r="1525" spans="1:6" x14ac:dyDescent="0.35">
      <c r="A1525" s="2" t="s">
        <v>2120</v>
      </c>
      <c r="B1525" s="6" t="s">
        <v>2121</v>
      </c>
      <c r="C1525" s="2" t="s">
        <v>461</v>
      </c>
      <c r="D1525" s="4">
        <v>9.6999300000000002</v>
      </c>
      <c r="E1525" s="4">
        <v>6.36266</v>
      </c>
      <c r="F1525" s="4">
        <v>6.6110000000000002E-2</v>
      </c>
    </row>
    <row r="1526" spans="1:6" x14ac:dyDescent="0.35">
      <c r="A1526" s="2" t="s">
        <v>2122</v>
      </c>
      <c r="B1526" s="6" t="e">
        <v>#N/A</v>
      </c>
      <c r="C1526" s="2" t="e">
        <v>#N/A</v>
      </c>
      <c r="D1526" s="4">
        <v>8.3764199999999995</v>
      </c>
      <c r="E1526" s="4">
        <v>5.1141300000000003</v>
      </c>
      <c r="F1526" s="4">
        <v>5.6009999999999997E-2</v>
      </c>
    </row>
    <row r="1527" spans="1:6" x14ac:dyDescent="0.35">
      <c r="A1527" s="2" t="s">
        <v>2123</v>
      </c>
      <c r="B1527" s="6" t="e">
        <v>#N/A</v>
      </c>
      <c r="C1527" s="2" t="e">
        <v>#N/A</v>
      </c>
      <c r="D1527" s="4">
        <v>26.39152</v>
      </c>
      <c r="E1527" s="4">
        <v>11.99689</v>
      </c>
      <c r="F1527" s="4">
        <v>0.13880000000000001</v>
      </c>
    </row>
    <row r="1528" spans="1:6" x14ac:dyDescent="0.35">
      <c r="A1528" s="2" t="s">
        <v>2124</v>
      </c>
      <c r="B1528" s="6" t="e">
        <v>#N/A</v>
      </c>
      <c r="C1528" s="2" t="e">
        <v>#N/A</v>
      </c>
      <c r="D1528" s="4">
        <v>8.4350000000000005</v>
      </c>
      <c r="E1528" s="4">
        <v>5.1725899999999996</v>
      </c>
      <c r="F1528" s="4">
        <v>5.6129999999999999E-2</v>
      </c>
    </row>
    <row r="1529" spans="1:6" x14ac:dyDescent="0.35">
      <c r="A1529" s="2" t="s">
        <v>2125</v>
      </c>
      <c r="B1529" s="6" t="e">
        <v>#N/A</v>
      </c>
      <c r="C1529" s="2" t="e">
        <v>#N/A</v>
      </c>
      <c r="D1529" s="4">
        <v>8.4350000000000005</v>
      </c>
      <c r="E1529" s="4">
        <v>5.1725899999999996</v>
      </c>
      <c r="F1529" s="4">
        <v>5.6129999999999999E-2</v>
      </c>
    </row>
    <row r="1530" spans="1:6" x14ac:dyDescent="0.35">
      <c r="A1530" s="2" t="s">
        <v>2126</v>
      </c>
      <c r="B1530" s="6" t="e">
        <v>#N/A</v>
      </c>
      <c r="C1530" s="2" t="e">
        <v>#N/A</v>
      </c>
      <c r="D1530" s="4">
        <v>8.6657799999999998</v>
      </c>
      <c r="E1530" s="4">
        <v>5.4033699999999998</v>
      </c>
      <c r="F1530" s="4">
        <v>5.6129999999999999E-2</v>
      </c>
    </row>
    <row r="1531" spans="1:6" x14ac:dyDescent="0.35">
      <c r="A1531" s="2" t="s">
        <v>2127</v>
      </c>
      <c r="B1531" s="6" t="e">
        <v>#N/A</v>
      </c>
      <c r="C1531" s="2" t="e">
        <v>#N/A</v>
      </c>
      <c r="D1531" s="4">
        <v>8.4350000000000005</v>
      </c>
      <c r="E1531" s="4">
        <v>5.1725899999999996</v>
      </c>
      <c r="F1531" s="4">
        <v>5.6129999999999999E-2</v>
      </c>
    </row>
    <row r="1532" spans="1:6" x14ac:dyDescent="0.35">
      <c r="A1532" s="2" t="s">
        <v>2128</v>
      </c>
      <c r="B1532" s="6" t="e">
        <v>#N/A</v>
      </c>
      <c r="C1532" s="2" t="e">
        <v>#N/A</v>
      </c>
      <c r="D1532" s="4">
        <v>8.4350000000000005</v>
      </c>
      <c r="E1532" s="4">
        <v>5.1725899999999996</v>
      </c>
      <c r="F1532" s="4">
        <v>5.6129999999999999E-2</v>
      </c>
    </row>
    <row r="1533" spans="1:6" x14ac:dyDescent="0.35">
      <c r="A1533" s="2" t="s">
        <v>2129</v>
      </c>
      <c r="B1533" s="6" t="e">
        <v>#N/A</v>
      </c>
      <c r="C1533" s="2" t="e">
        <v>#N/A</v>
      </c>
      <c r="D1533" s="4">
        <v>34.918529999999997</v>
      </c>
      <c r="E1533" s="4">
        <v>20.19013</v>
      </c>
      <c r="F1533" s="4">
        <v>0.23708000000000001</v>
      </c>
    </row>
    <row r="1534" spans="1:6" x14ac:dyDescent="0.35">
      <c r="A1534" s="2" t="s">
        <v>2130</v>
      </c>
      <c r="B1534" s="6" t="e">
        <v>#N/A</v>
      </c>
      <c r="C1534" s="2" t="e">
        <v>#N/A</v>
      </c>
      <c r="D1534" s="4">
        <v>34.918529999999997</v>
      </c>
      <c r="E1534" s="4">
        <v>20.19013</v>
      </c>
      <c r="F1534" s="4">
        <v>0.23708000000000001</v>
      </c>
    </row>
    <row r="1535" spans="1:6" x14ac:dyDescent="0.35">
      <c r="A1535" s="2" t="s">
        <v>2131</v>
      </c>
      <c r="B1535" s="6" t="e">
        <v>#N/A</v>
      </c>
      <c r="C1535" s="2" t="e">
        <v>#N/A</v>
      </c>
      <c r="D1535" s="4">
        <v>37.076970000000003</v>
      </c>
      <c r="E1535" s="4">
        <v>22.597950000000001</v>
      </c>
      <c r="F1535" s="4">
        <v>0.22319</v>
      </c>
    </row>
    <row r="1536" spans="1:6" x14ac:dyDescent="0.35">
      <c r="A1536" s="2" t="s">
        <v>2132</v>
      </c>
      <c r="B1536" s="6" t="e">
        <v>#N/A</v>
      </c>
      <c r="C1536" s="2" t="e">
        <v>#N/A</v>
      </c>
      <c r="D1536" s="4">
        <v>37.076970000000003</v>
      </c>
      <c r="E1536" s="4">
        <v>22.597950000000001</v>
      </c>
      <c r="F1536" s="4">
        <v>0.22319</v>
      </c>
    </row>
    <row r="1537" spans="1:6" x14ac:dyDescent="0.35">
      <c r="A1537" s="2" t="s">
        <v>2133</v>
      </c>
      <c r="B1537" s="6" t="e">
        <v>#N/A</v>
      </c>
      <c r="C1537" s="2" t="e">
        <v>#N/A</v>
      </c>
      <c r="D1537" s="4">
        <v>37.076970000000003</v>
      </c>
      <c r="E1537" s="4">
        <v>22.597950000000001</v>
      </c>
      <c r="F1537" s="4">
        <v>0.22319</v>
      </c>
    </row>
    <row r="1538" spans="1:6" x14ac:dyDescent="0.35">
      <c r="A1538" s="2" t="s">
        <v>2134</v>
      </c>
      <c r="B1538" s="6" t="e">
        <v>#N/A</v>
      </c>
      <c r="C1538" s="2" t="e">
        <v>#N/A</v>
      </c>
      <c r="D1538" s="4">
        <v>9.6999300000000002</v>
      </c>
      <c r="E1538" s="4">
        <v>6.36266</v>
      </c>
      <c r="F1538" s="4">
        <v>6.6110000000000002E-2</v>
      </c>
    </row>
    <row r="1539" spans="1:6" x14ac:dyDescent="0.35">
      <c r="A1539" s="2" t="s">
        <v>2135</v>
      </c>
      <c r="B1539" s="6" t="e">
        <v>#N/A</v>
      </c>
      <c r="C1539" s="2" t="e">
        <v>#N/A</v>
      </c>
      <c r="D1539" s="4">
        <v>9.6999300000000002</v>
      </c>
      <c r="E1539" s="4">
        <v>6.36266</v>
      </c>
      <c r="F1539" s="4">
        <v>6.6110000000000002E-2</v>
      </c>
    </row>
    <row r="1540" spans="1:6" x14ac:dyDescent="0.35">
      <c r="A1540" s="2" t="s">
        <v>2136</v>
      </c>
      <c r="B1540" s="6" t="e">
        <v>#N/A</v>
      </c>
      <c r="C1540" s="2" t="e">
        <v>#N/A</v>
      </c>
      <c r="D1540" s="4">
        <v>9.6999300000000002</v>
      </c>
      <c r="E1540" s="4">
        <v>6.36266</v>
      </c>
      <c r="F1540" s="4">
        <v>6.6110000000000002E-2</v>
      </c>
    </row>
    <row r="1541" spans="1:6" x14ac:dyDescent="0.35">
      <c r="A1541" s="2" t="s">
        <v>2137</v>
      </c>
      <c r="B1541" s="6" t="e">
        <v>#N/A</v>
      </c>
      <c r="C1541" s="2" t="e">
        <v>#N/A</v>
      </c>
      <c r="D1541" s="4">
        <v>9.6999300000000002</v>
      </c>
      <c r="E1541" s="4">
        <v>6.36266</v>
      </c>
      <c r="F1541" s="4">
        <v>6.6110000000000002E-2</v>
      </c>
    </row>
    <row r="1542" spans="1:6" x14ac:dyDescent="0.35">
      <c r="A1542" s="2" t="s">
        <v>2138</v>
      </c>
      <c r="B1542" s="6" t="e">
        <v>#N/A</v>
      </c>
      <c r="C1542" s="2" t="e">
        <v>#N/A</v>
      </c>
      <c r="D1542" s="4">
        <v>8.3764199999999995</v>
      </c>
      <c r="E1542" s="4">
        <v>5.1141300000000003</v>
      </c>
      <c r="F1542" s="4">
        <v>5.6009999999999997E-2</v>
      </c>
    </row>
    <row r="1543" spans="1:6" x14ac:dyDescent="0.35">
      <c r="A1543" s="2" t="s">
        <v>2139</v>
      </c>
      <c r="B1543" s="6" t="e">
        <v>#N/A</v>
      </c>
      <c r="C1543" s="2" t="e">
        <v>#N/A</v>
      </c>
      <c r="D1543" s="4">
        <v>8.3764199999999995</v>
      </c>
      <c r="E1543" s="4">
        <v>5.1141300000000003</v>
      </c>
      <c r="F1543" s="4">
        <v>5.6009999999999997E-2</v>
      </c>
    </row>
    <row r="1544" spans="1:6" x14ac:dyDescent="0.35">
      <c r="A1544" s="2" t="s">
        <v>2140</v>
      </c>
      <c r="B1544" s="6" t="e">
        <v>#N/A</v>
      </c>
      <c r="C1544" s="2" t="e">
        <v>#N/A</v>
      </c>
      <c r="D1544" s="4">
        <v>8.3764199999999995</v>
      </c>
      <c r="E1544" s="4">
        <v>5.1141300000000003</v>
      </c>
      <c r="F1544" s="4">
        <v>5.6009999999999997E-2</v>
      </c>
    </row>
    <row r="1545" spans="1:6" x14ac:dyDescent="0.35">
      <c r="A1545" s="2" t="s">
        <v>2141</v>
      </c>
      <c r="B1545" s="6" t="e">
        <v>#N/A</v>
      </c>
      <c r="C1545" s="2" t="e">
        <v>#N/A</v>
      </c>
      <c r="D1545" s="4">
        <v>8.3764199999999995</v>
      </c>
      <c r="E1545" s="4">
        <v>5.1141300000000003</v>
      </c>
      <c r="F1545" s="4">
        <v>5.6009999999999997E-2</v>
      </c>
    </row>
    <row r="1546" spans="1:6" x14ac:dyDescent="0.35">
      <c r="A1546" s="2" t="s">
        <v>2142</v>
      </c>
      <c r="B1546" s="6" t="e">
        <v>#N/A</v>
      </c>
      <c r="C1546" s="2" t="e">
        <v>#N/A</v>
      </c>
      <c r="D1546" s="4">
        <v>26.382560000000002</v>
      </c>
      <c r="E1546" s="4">
        <v>11.98793</v>
      </c>
      <c r="F1546" s="4">
        <v>0.13880000000000001</v>
      </c>
    </row>
    <row r="1547" spans="1:6" x14ac:dyDescent="0.35">
      <c r="A1547" s="2" t="s">
        <v>2143</v>
      </c>
      <c r="B1547" s="6" t="e">
        <v>#N/A</v>
      </c>
      <c r="C1547" s="2" t="e">
        <v>#N/A</v>
      </c>
      <c r="D1547" s="4">
        <v>26.382560000000002</v>
      </c>
      <c r="E1547" s="4">
        <v>11.98793</v>
      </c>
      <c r="F1547" s="4">
        <v>0.13880000000000001</v>
      </c>
    </row>
    <row r="1548" spans="1:6" x14ac:dyDescent="0.35">
      <c r="A1548" s="2" t="s">
        <v>2144</v>
      </c>
      <c r="B1548" s="6" t="e">
        <v>#N/A</v>
      </c>
      <c r="C1548" s="2" t="e">
        <v>#N/A</v>
      </c>
      <c r="D1548" s="4">
        <v>26.382560000000002</v>
      </c>
      <c r="E1548" s="4">
        <v>11.98793</v>
      </c>
      <c r="F1548" s="4">
        <v>0.13880000000000001</v>
      </c>
    </row>
    <row r="1549" spans="1:6" x14ac:dyDescent="0.35">
      <c r="A1549" s="2" t="s">
        <v>2145</v>
      </c>
      <c r="B1549" s="6" t="e">
        <v>#N/A</v>
      </c>
      <c r="C1549" s="2" t="e">
        <v>#N/A</v>
      </c>
      <c r="D1549" s="4">
        <v>27.451689999999999</v>
      </c>
      <c r="E1549" s="4">
        <v>13.05706</v>
      </c>
      <c r="F1549" s="4">
        <v>0.13880000000000001</v>
      </c>
    </row>
    <row r="1550" spans="1:6" x14ac:dyDescent="0.35">
      <c r="A1550" s="2" t="s">
        <v>2146</v>
      </c>
      <c r="B1550" s="6" t="e">
        <v>#N/A</v>
      </c>
      <c r="C1550" s="2" t="e">
        <v>#N/A</v>
      </c>
      <c r="D1550" s="4">
        <v>27.451689999999999</v>
      </c>
      <c r="E1550" s="4">
        <v>13.05706</v>
      </c>
      <c r="F1550" s="4">
        <v>0.13880000000000001</v>
      </c>
    </row>
    <row r="1551" spans="1:6" x14ac:dyDescent="0.35">
      <c r="A1551" s="2" t="s">
        <v>2147</v>
      </c>
      <c r="B1551" s="6" t="e">
        <v>#N/A</v>
      </c>
      <c r="C1551" s="2" t="e">
        <v>#N/A</v>
      </c>
      <c r="D1551" s="4">
        <v>7.4271799999999999</v>
      </c>
      <c r="E1551" s="4">
        <v>4.1797000000000004</v>
      </c>
      <c r="F1551" s="4">
        <v>4.1200000000000001E-2</v>
      </c>
    </row>
    <row r="1552" spans="1:6" x14ac:dyDescent="0.35">
      <c r="A1552" s="2" t="s">
        <v>2148</v>
      </c>
      <c r="B1552" s="6" t="e">
        <v>#N/A</v>
      </c>
      <c r="C1552" s="2" t="e">
        <v>#N/A</v>
      </c>
      <c r="D1552" s="4">
        <v>7.4271799999999999</v>
      </c>
      <c r="E1552" s="4">
        <v>4.1797000000000004</v>
      </c>
      <c r="F1552" s="4">
        <v>4.1200000000000001E-2</v>
      </c>
    </row>
    <row r="1553" spans="1:6" x14ac:dyDescent="0.35">
      <c r="A1553" s="2" t="s">
        <v>2149</v>
      </c>
      <c r="B1553" s="6" t="e">
        <v>#N/A</v>
      </c>
      <c r="C1553" s="2" t="e">
        <v>#N/A</v>
      </c>
      <c r="D1553" s="4">
        <v>7.4652200000000004</v>
      </c>
      <c r="E1553" s="4">
        <v>4.21767</v>
      </c>
      <c r="F1553" s="4">
        <v>4.1270000000000001E-2</v>
      </c>
    </row>
    <row r="1554" spans="1:6" x14ac:dyDescent="0.35">
      <c r="A1554" s="2" t="s">
        <v>2150</v>
      </c>
      <c r="B1554" s="6" t="e">
        <v>#N/A</v>
      </c>
      <c r="C1554" s="2" t="e">
        <v>#N/A</v>
      </c>
      <c r="D1554" s="4">
        <v>7.4652200000000004</v>
      </c>
      <c r="E1554" s="4">
        <v>4.21767</v>
      </c>
      <c r="F1554" s="4">
        <v>4.1270000000000001E-2</v>
      </c>
    </row>
    <row r="1555" spans="1:6" x14ac:dyDescent="0.35">
      <c r="A1555" s="2" t="s">
        <v>2151</v>
      </c>
      <c r="B1555" s="6" t="e">
        <v>#N/A</v>
      </c>
      <c r="C1555" s="2" t="e">
        <v>#N/A</v>
      </c>
      <c r="D1555" s="4">
        <v>8.33521</v>
      </c>
      <c r="E1555" s="4">
        <v>5.0134800000000004</v>
      </c>
      <c r="F1555" s="4">
        <v>5.0569999999999997E-2</v>
      </c>
    </row>
    <row r="1556" spans="1:6" x14ac:dyDescent="0.35">
      <c r="A1556" s="2" t="s">
        <v>2152</v>
      </c>
      <c r="B1556" s="6" t="e">
        <v>#N/A</v>
      </c>
      <c r="C1556" s="2" t="e">
        <v>#N/A</v>
      </c>
      <c r="D1556" s="4">
        <v>8.33521</v>
      </c>
      <c r="E1556" s="4">
        <v>5.0134800000000004</v>
      </c>
      <c r="F1556" s="4">
        <v>5.0569999999999997E-2</v>
      </c>
    </row>
    <row r="1557" spans="1:6" x14ac:dyDescent="0.35">
      <c r="A1557" s="2" t="s">
        <v>2153</v>
      </c>
      <c r="B1557" s="6" t="e">
        <v>#N/A</v>
      </c>
      <c r="C1557" s="2" t="e">
        <v>#N/A</v>
      </c>
      <c r="D1557" s="4">
        <v>8.33521</v>
      </c>
      <c r="E1557" s="4">
        <v>5.0134800000000004</v>
      </c>
      <c r="F1557" s="4">
        <v>5.0569999999999997E-2</v>
      </c>
    </row>
    <row r="1558" spans="1:6" x14ac:dyDescent="0.35">
      <c r="A1558" s="2" t="s">
        <v>2154</v>
      </c>
      <c r="B1558" s="6" t="e">
        <v>#N/A</v>
      </c>
      <c r="C1558" s="2" t="e">
        <v>#N/A</v>
      </c>
      <c r="D1558" s="4">
        <v>9.5181199999999997</v>
      </c>
      <c r="E1558" s="4">
        <v>6.2545799999999998</v>
      </c>
      <c r="F1558" s="4">
        <v>5.7259999999999998E-2</v>
      </c>
    </row>
    <row r="1559" spans="1:6" x14ac:dyDescent="0.35">
      <c r="A1559" s="2" t="s">
        <v>2155</v>
      </c>
      <c r="B1559" s="6" t="e">
        <v>#N/A</v>
      </c>
      <c r="C1559" s="2" t="e">
        <v>#N/A</v>
      </c>
      <c r="D1559" s="4">
        <v>8.6582500000000007</v>
      </c>
      <c r="E1559" s="4">
        <v>5.3365200000000002</v>
      </c>
      <c r="F1559" s="4">
        <v>5.0569999999999997E-2</v>
      </c>
    </row>
    <row r="1560" spans="1:6" x14ac:dyDescent="0.35">
      <c r="A1560" s="2" t="s">
        <v>2156</v>
      </c>
      <c r="B1560" s="6" t="e">
        <v>#N/A</v>
      </c>
      <c r="C1560" s="2" t="e">
        <v>#N/A</v>
      </c>
      <c r="D1560" s="4">
        <v>8.9096299999999999</v>
      </c>
      <c r="E1560" s="4">
        <v>5.6472199999999999</v>
      </c>
      <c r="F1560" s="4">
        <v>5.6129999999999999E-2</v>
      </c>
    </row>
    <row r="1561" spans="1:6" x14ac:dyDescent="0.35">
      <c r="A1561" s="2" t="s">
        <v>2157</v>
      </c>
      <c r="B1561" s="6" t="e">
        <v>#N/A</v>
      </c>
      <c r="C1561" s="2" t="e">
        <v>#N/A</v>
      </c>
      <c r="D1561" s="4">
        <v>8.9100300000000008</v>
      </c>
      <c r="E1561" s="4">
        <v>5.6476199999999999</v>
      </c>
      <c r="F1561" s="4">
        <v>5.6129999999999999E-2</v>
      </c>
    </row>
    <row r="1562" spans="1:6" x14ac:dyDescent="0.35">
      <c r="A1562" s="2" t="s">
        <v>2158</v>
      </c>
      <c r="B1562" s="6" t="e">
        <v>#N/A</v>
      </c>
      <c r="C1562" s="2" t="e">
        <v>#N/A</v>
      </c>
      <c r="D1562" s="4">
        <v>8.9096499999999992</v>
      </c>
      <c r="E1562" s="4">
        <v>5.64724</v>
      </c>
      <c r="F1562" s="4">
        <v>5.6129999999999999E-2</v>
      </c>
    </row>
    <row r="1563" spans="1:6" x14ac:dyDescent="0.35">
      <c r="A1563" s="2" t="s">
        <v>2159</v>
      </c>
      <c r="B1563" s="6" t="e">
        <v>#N/A</v>
      </c>
      <c r="C1563" s="2" t="e">
        <v>#N/A</v>
      </c>
      <c r="D1563" s="4">
        <v>8.6698500000000003</v>
      </c>
      <c r="E1563" s="4">
        <v>5.40787</v>
      </c>
      <c r="F1563" s="4">
        <v>5.57E-2</v>
      </c>
    </row>
    <row r="1564" spans="1:6" x14ac:dyDescent="0.35">
      <c r="A1564" s="2" t="s">
        <v>2160</v>
      </c>
      <c r="B1564" s="6" t="e">
        <v>#N/A</v>
      </c>
      <c r="C1564" s="2" t="e">
        <v>#N/A</v>
      </c>
      <c r="D1564" s="4">
        <v>9.0848499999999994</v>
      </c>
      <c r="E1564" s="4">
        <v>5.8224400000000003</v>
      </c>
      <c r="F1564" s="4">
        <v>5.6129999999999999E-2</v>
      </c>
    </row>
    <row r="1565" spans="1:6" x14ac:dyDescent="0.35">
      <c r="A1565" s="2" t="s">
        <v>2161</v>
      </c>
      <c r="B1565" s="6" t="e">
        <v>#N/A</v>
      </c>
      <c r="C1565" s="2" t="e">
        <v>#N/A</v>
      </c>
      <c r="D1565" s="4">
        <v>8.9096299999999999</v>
      </c>
      <c r="E1565" s="4">
        <v>5.6472199999999999</v>
      </c>
      <c r="F1565" s="4">
        <v>5.6129999999999999E-2</v>
      </c>
    </row>
    <row r="1566" spans="1:6" x14ac:dyDescent="0.35">
      <c r="A1566" s="2" t="s">
        <v>2162</v>
      </c>
      <c r="B1566" s="6" t="e">
        <v>#N/A</v>
      </c>
      <c r="C1566" s="2" t="e">
        <v>#N/A</v>
      </c>
      <c r="D1566" s="4">
        <v>8.9096499999999992</v>
      </c>
      <c r="E1566" s="4">
        <v>5.64724</v>
      </c>
      <c r="F1566" s="4">
        <v>5.6129999999999999E-2</v>
      </c>
    </row>
    <row r="1567" spans="1:6" x14ac:dyDescent="0.35">
      <c r="A1567" s="2" t="s">
        <v>2163</v>
      </c>
      <c r="B1567" s="6" t="e">
        <v>#N/A</v>
      </c>
      <c r="C1567" s="2" t="e">
        <v>#N/A</v>
      </c>
      <c r="D1567" s="4">
        <v>10.019880000000001</v>
      </c>
      <c r="E1567" s="4">
        <v>6.6826100000000004</v>
      </c>
      <c r="F1567" s="4">
        <v>6.6110000000000002E-2</v>
      </c>
    </row>
    <row r="1568" spans="1:6" x14ac:dyDescent="0.35">
      <c r="A1568" s="2" t="s">
        <v>2164</v>
      </c>
      <c r="B1568" s="6" t="e">
        <v>#N/A</v>
      </c>
      <c r="C1568" s="2" t="e">
        <v>#N/A</v>
      </c>
      <c r="D1568" s="4">
        <v>10.1951</v>
      </c>
      <c r="E1568" s="4">
        <v>6.8578299999999999</v>
      </c>
      <c r="F1568" s="4">
        <v>6.6110000000000002E-2</v>
      </c>
    </row>
    <row r="1569" spans="1:6" x14ac:dyDescent="0.35">
      <c r="A1569" s="2" t="s">
        <v>2165</v>
      </c>
      <c r="B1569" s="6" t="e">
        <v>#N/A</v>
      </c>
      <c r="C1569" s="2" t="e">
        <v>#N/A</v>
      </c>
      <c r="D1569" s="4">
        <v>10.019880000000001</v>
      </c>
      <c r="E1569" s="4">
        <v>6.6826100000000004</v>
      </c>
      <c r="F1569" s="4">
        <v>6.6110000000000002E-2</v>
      </c>
    </row>
    <row r="1570" spans="1:6" x14ac:dyDescent="0.35">
      <c r="A1570" s="2" t="s">
        <v>2166</v>
      </c>
      <c r="B1570" s="6" t="e">
        <v>#N/A</v>
      </c>
      <c r="C1570" s="2" t="e">
        <v>#N/A</v>
      </c>
      <c r="D1570" s="4">
        <v>8.8510500000000008</v>
      </c>
      <c r="E1570" s="4">
        <v>5.5887599999999997</v>
      </c>
      <c r="F1570" s="4">
        <v>5.6009999999999997E-2</v>
      </c>
    </row>
    <row r="1571" spans="1:6" x14ac:dyDescent="0.35">
      <c r="A1571" s="2" t="s">
        <v>2167</v>
      </c>
      <c r="B1571" s="6" t="e">
        <v>#N/A</v>
      </c>
      <c r="C1571" s="2" t="e">
        <v>#N/A</v>
      </c>
      <c r="D1571" s="4">
        <v>8.8510500000000008</v>
      </c>
      <c r="E1571" s="4">
        <v>5.5887599999999997</v>
      </c>
      <c r="F1571" s="4">
        <v>5.6009999999999997E-2</v>
      </c>
    </row>
    <row r="1572" spans="1:6" x14ac:dyDescent="0.35">
      <c r="A1572" s="2" t="s">
        <v>2168</v>
      </c>
      <c r="B1572" s="6" t="e">
        <v>#N/A</v>
      </c>
      <c r="C1572" s="2" t="e">
        <v>#N/A</v>
      </c>
      <c r="D1572" s="4">
        <v>7.9039099999999998</v>
      </c>
      <c r="E1572" s="4">
        <v>4.6564300000000003</v>
      </c>
      <c r="F1572" s="4">
        <v>4.1200000000000001E-2</v>
      </c>
    </row>
    <row r="1573" spans="1:6" x14ac:dyDescent="0.35">
      <c r="A1573" s="2" t="s">
        <v>2169</v>
      </c>
      <c r="B1573" s="6" t="e">
        <v>#N/A</v>
      </c>
      <c r="C1573" s="2" t="e">
        <v>#N/A</v>
      </c>
      <c r="D1573" s="4">
        <v>7.9039099999999998</v>
      </c>
      <c r="E1573" s="4">
        <v>4.6564300000000003</v>
      </c>
      <c r="F1573" s="4">
        <v>4.1200000000000001E-2</v>
      </c>
    </row>
    <row r="1574" spans="1:6" x14ac:dyDescent="0.35">
      <c r="A1574" s="2" t="s">
        <v>2170</v>
      </c>
      <c r="B1574" s="6" t="e">
        <v>#N/A</v>
      </c>
      <c r="C1574" s="2" t="e">
        <v>#N/A</v>
      </c>
      <c r="D1574" s="4">
        <v>7.9398499999999999</v>
      </c>
      <c r="E1574" s="4">
        <v>4.6923000000000004</v>
      </c>
      <c r="F1574" s="4">
        <v>4.1270000000000001E-2</v>
      </c>
    </row>
    <row r="1575" spans="1:6" x14ac:dyDescent="0.35">
      <c r="A1575" s="2" t="s">
        <v>2171</v>
      </c>
      <c r="B1575" s="6" t="e">
        <v>#N/A</v>
      </c>
      <c r="C1575" s="2" t="e">
        <v>#N/A</v>
      </c>
      <c r="D1575" s="4">
        <v>7.9398499999999999</v>
      </c>
      <c r="E1575" s="4">
        <v>4.6923000000000004</v>
      </c>
      <c r="F1575" s="4">
        <v>4.1270000000000001E-2</v>
      </c>
    </row>
    <row r="1576" spans="1:6" x14ac:dyDescent="0.35">
      <c r="A1576" s="2" t="s">
        <v>2172</v>
      </c>
      <c r="B1576" s="6" t="e">
        <v>#N/A</v>
      </c>
      <c r="C1576" s="2" t="e">
        <v>#N/A</v>
      </c>
      <c r="D1576" s="4">
        <v>8.6582500000000007</v>
      </c>
      <c r="E1576" s="4">
        <v>5.3365200000000002</v>
      </c>
      <c r="F1576" s="4">
        <v>5.0569999999999997E-2</v>
      </c>
    </row>
    <row r="1577" spans="1:6" x14ac:dyDescent="0.35">
      <c r="A1577" s="2" t="s">
        <v>2173</v>
      </c>
      <c r="B1577" s="6" t="e">
        <v>#N/A</v>
      </c>
      <c r="C1577" s="2" t="e">
        <v>#N/A</v>
      </c>
      <c r="D1577" s="4">
        <v>8.6582500000000007</v>
      </c>
      <c r="E1577" s="4">
        <v>5.3365200000000002</v>
      </c>
      <c r="F1577" s="4">
        <v>5.0569999999999997E-2</v>
      </c>
    </row>
    <row r="1578" spans="1:6" x14ac:dyDescent="0.35">
      <c r="A1578" s="2" t="s">
        <v>2174</v>
      </c>
      <c r="B1578" s="6" t="e">
        <v>#N/A</v>
      </c>
      <c r="C1578" s="2" t="e">
        <v>#N/A</v>
      </c>
      <c r="D1578" s="4">
        <v>19.69464</v>
      </c>
      <c r="E1578" s="4">
        <v>12.97292</v>
      </c>
      <c r="F1578" s="4">
        <v>0.26125999999999999</v>
      </c>
    </row>
    <row r="1579" spans="1:6" x14ac:dyDescent="0.35">
      <c r="A1579" s="2" t="s">
        <v>2175</v>
      </c>
      <c r="B1579" s="6" t="e">
        <v>#N/A</v>
      </c>
      <c r="C1579" s="2" t="e">
        <v>#N/A</v>
      </c>
      <c r="D1579" s="4">
        <v>164.4974</v>
      </c>
      <c r="E1579" s="4">
        <v>93.686099999999996</v>
      </c>
      <c r="F1579" s="4">
        <v>1.15099</v>
      </c>
    </row>
    <row r="1580" spans="1:6" x14ac:dyDescent="0.35">
      <c r="A1580" s="2" t="s">
        <v>2176</v>
      </c>
      <c r="B1580" s="6" t="e">
        <v>#N/A</v>
      </c>
      <c r="C1580" s="2" t="e">
        <v>#N/A</v>
      </c>
      <c r="D1580" s="4">
        <v>218.26053999999999</v>
      </c>
      <c r="E1580" s="4">
        <v>146.75836000000001</v>
      </c>
      <c r="F1580" s="4">
        <v>1.8418699999999999</v>
      </c>
    </row>
    <row r="1581" spans="1:6" x14ac:dyDescent="0.35">
      <c r="A1581" s="2" t="s">
        <v>2177</v>
      </c>
      <c r="B1581" s="6" t="e">
        <v>#N/A</v>
      </c>
      <c r="C1581" s="2" t="e">
        <v>#N/A</v>
      </c>
      <c r="D1581" s="4">
        <v>37.050310000000003</v>
      </c>
      <c r="E1581" s="4">
        <v>26.785879999999999</v>
      </c>
      <c r="F1581" s="4">
        <v>0.40866999999999998</v>
      </c>
    </row>
    <row r="1582" spans="1:6" x14ac:dyDescent="0.35">
      <c r="A1582" s="2" t="s">
        <v>2178</v>
      </c>
      <c r="B1582" s="6" t="e">
        <v>#N/A</v>
      </c>
      <c r="C1582" s="2" t="e">
        <v>#N/A</v>
      </c>
      <c r="D1582" s="4">
        <v>57.012729999999998</v>
      </c>
      <c r="E1582" s="4">
        <v>46.458089999999999</v>
      </c>
      <c r="F1582" s="4">
        <v>0.69887999999999995</v>
      </c>
    </row>
    <row r="1583" spans="1:6" x14ac:dyDescent="0.35">
      <c r="A1583" s="2" t="s">
        <v>2179</v>
      </c>
      <c r="B1583" s="6" t="e">
        <v>#N/A</v>
      </c>
      <c r="C1583" s="2" t="e">
        <v>#N/A</v>
      </c>
      <c r="D1583" s="4">
        <v>12.90277</v>
      </c>
      <c r="E1583" s="4">
        <v>6.3457999999999997</v>
      </c>
      <c r="F1583" s="4">
        <v>9.6509999999999999E-2</v>
      </c>
    </row>
    <row r="1584" spans="1:6" x14ac:dyDescent="0.35">
      <c r="A1584" s="2" t="s">
        <v>2180</v>
      </c>
      <c r="B1584" s="6" t="e">
        <v>#N/A</v>
      </c>
      <c r="C1584" s="2" t="e">
        <v>#N/A</v>
      </c>
      <c r="D1584" s="4">
        <v>19.487300000000001</v>
      </c>
      <c r="E1584" s="4">
        <v>12.7906</v>
      </c>
      <c r="F1584" s="4">
        <v>0.23624000000000001</v>
      </c>
    </row>
    <row r="1585" spans="1:6" x14ac:dyDescent="0.35">
      <c r="A1585" s="2" t="s">
        <v>2181</v>
      </c>
      <c r="B1585" s="6" t="e">
        <v>#N/A</v>
      </c>
      <c r="C1585" s="2" t="e">
        <v>#N/A</v>
      </c>
      <c r="D1585" s="4">
        <v>164.47371999999999</v>
      </c>
      <c r="E1585" s="4">
        <v>93.666300000000007</v>
      </c>
      <c r="F1585" s="4">
        <v>1.1471100000000001</v>
      </c>
    </row>
    <row r="1586" spans="1:6" x14ac:dyDescent="0.35">
      <c r="A1586" s="2" t="s">
        <v>2182</v>
      </c>
      <c r="B1586" s="6" t="e">
        <v>#N/A</v>
      </c>
      <c r="C1586" s="2" t="e">
        <v>#N/A</v>
      </c>
      <c r="D1586" s="4">
        <v>164.47371999999999</v>
      </c>
      <c r="E1586" s="4">
        <v>93.666300000000007</v>
      </c>
      <c r="F1586" s="4">
        <v>1.1471100000000001</v>
      </c>
    </row>
    <row r="1587" spans="1:6" x14ac:dyDescent="0.35">
      <c r="A1587" s="2" t="s">
        <v>2183</v>
      </c>
      <c r="B1587" s="6" t="e">
        <v>#N/A</v>
      </c>
      <c r="C1587" s="2" t="e">
        <v>#N/A</v>
      </c>
      <c r="D1587" s="4">
        <v>218.22416999999999</v>
      </c>
      <c r="E1587" s="4">
        <v>146.72793999999999</v>
      </c>
      <c r="F1587" s="4">
        <v>1.83592</v>
      </c>
    </row>
    <row r="1588" spans="1:6" x14ac:dyDescent="0.35">
      <c r="A1588" s="2" t="s">
        <v>2184</v>
      </c>
      <c r="B1588" s="6" t="e">
        <v>#N/A</v>
      </c>
      <c r="C1588" s="2" t="e">
        <v>#N/A</v>
      </c>
      <c r="D1588" s="4">
        <v>37.03904</v>
      </c>
      <c r="E1588" s="4">
        <v>26.77646</v>
      </c>
      <c r="F1588" s="4">
        <v>0.40682000000000001</v>
      </c>
    </row>
    <row r="1589" spans="1:6" x14ac:dyDescent="0.35">
      <c r="A1589" s="2" t="s">
        <v>2185</v>
      </c>
      <c r="B1589" s="6" t="e">
        <v>#N/A</v>
      </c>
      <c r="C1589" s="2" t="e">
        <v>#N/A</v>
      </c>
      <c r="D1589" s="4">
        <v>17.426500000000001</v>
      </c>
      <c r="E1589" s="4">
        <v>10.823180000000001</v>
      </c>
      <c r="F1589" s="4">
        <v>0.14285999999999999</v>
      </c>
    </row>
    <row r="1590" spans="1:6" x14ac:dyDescent="0.35">
      <c r="A1590" s="2" t="s">
        <v>2186</v>
      </c>
      <c r="B1590" s="6" t="e">
        <v>#N/A</v>
      </c>
      <c r="C1590" s="2" t="e">
        <v>#N/A</v>
      </c>
      <c r="D1590" s="4">
        <v>56.996879999999997</v>
      </c>
      <c r="E1590" s="4">
        <v>46.444839999999999</v>
      </c>
      <c r="F1590" s="4">
        <v>0.69628000000000001</v>
      </c>
    </row>
    <row r="1591" spans="1:6" x14ac:dyDescent="0.35">
      <c r="A1591" s="2" t="s">
        <v>2187</v>
      </c>
      <c r="B1591" s="6" t="e">
        <v>#N/A</v>
      </c>
      <c r="C1591" s="2" t="e">
        <v>#N/A</v>
      </c>
      <c r="D1591" s="4">
        <v>169.41034999999999</v>
      </c>
      <c r="E1591" s="4">
        <v>94.901880000000006</v>
      </c>
      <c r="F1591" s="4">
        <v>1.1471100000000001</v>
      </c>
    </row>
    <row r="1592" spans="1:6" x14ac:dyDescent="0.35">
      <c r="A1592" s="2" t="s">
        <v>2188</v>
      </c>
      <c r="B1592" s="6" t="e">
        <v>#N/A</v>
      </c>
      <c r="C1592" s="2" t="e">
        <v>#N/A</v>
      </c>
      <c r="D1592" s="4">
        <v>61.645209999999999</v>
      </c>
      <c r="E1592" s="4">
        <v>47.392130000000002</v>
      </c>
      <c r="F1592" s="4">
        <v>0.69628000000000001</v>
      </c>
    </row>
    <row r="1593" spans="1:6" x14ac:dyDescent="0.35">
      <c r="A1593" s="2" t="s">
        <v>2189</v>
      </c>
      <c r="B1593" s="6" t="e">
        <v>#N/A</v>
      </c>
      <c r="C1593" s="2" t="e">
        <v>#N/A</v>
      </c>
      <c r="D1593" s="4">
        <v>9.4502600000000001</v>
      </c>
      <c r="E1593" s="4">
        <v>2.7521900000000001</v>
      </c>
      <c r="F1593" s="4">
        <v>5.7119999999999997E-2</v>
      </c>
    </row>
    <row r="1594" spans="1:6" x14ac:dyDescent="0.35">
      <c r="A1594" s="2" t="s">
        <v>2190</v>
      </c>
      <c r="B1594" s="6" t="e">
        <v>#N/A</v>
      </c>
      <c r="C1594" s="2" t="e">
        <v>#N/A</v>
      </c>
      <c r="D1594" s="4">
        <v>11.05101</v>
      </c>
      <c r="E1594" s="4">
        <v>4.1181700000000001</v>
      </c>
      <c r="F1594" s="4">
        <v>6.7599999999999993E-2</v>
      </c>
    </row>
    <row r="1595" spans="1:6" x14ac:dyDescent="0.35">
      <c r="A1595" s="2" t="s">
        <v>2191</v>
      </c>
      <c r="B1595" s="6" t="e">
        <v>#N/A</v>
      </c>
      <c r="C1595" s="2" t="e">
        <v>#N/A</v>
      </c>
      <c r="D1595" s="4">
        <v>24.257349999999999</v>
      </c>
      <c r="E1595" s="4">
        <v>15.505129999999999</v>
      </c>
      <c r="F1595" s="4">
        <v>0.30914999999999998</v>
      </c>
    </row>
    <row r="1596" spans="1:6" x14ac:dyDescent="0.35">
      <c r="A1596" s="2" t="s">
        <v>2192</v>
      </c>
      <c r="B1596" s="6" t="e">
        <v>#N/A</v>
      </c>
      <c r="C1596" s="2" t="e">
        <v>#N/A</v>
      </c>
      <c r="D1596" s="4">
        <v>12.38578</v>
      </c>
      <c r="E1596" s="4">
        <v>5.60297</v>
      </c>
      <c r="F1596" s="4">
        <v>9.8049999999999998E-2</v>
      </c>
    </row>
    <row r="1597" spans="1:6" x14ac:dyDescent="0.35">
      <c r="A1597" s="2" t="s">
        <v>2193</v>
      </c>
      <c r="B1597" s="6" t="e">
        <v>#N/A</v>
      </c>
      <c r="C1597" s="2" t="e">
        <v>#N/A</v>
      </c>
      <c r="D1597" s="4">
        <v>48.046869999999998</v>
      </c>
      <c r="E1597" s="4">
        <v>31.02103</v>
      </c>
      <c r="F1597" s="4">
        <v>0.47902</v>
      </c>
    </row>
    <row r="1598" spans="1:6" x14ac:dyDescent="0.35">
      <c r="A1598" s="2" t="s">
        <v>2194</v>
      </c>
      <c r="B1598" s="6" t="e">
        <v>#N/A</v>
      </c>
      <c r="C1598" s="2" t="e">
        <v>#N/A</v>
      </c>
      <c r="D1598" s="4">
        <v>21.862780000000001</v>
      </c>
      <c r="E1598" s="4">
        <v>13.216189999999999</v>
      </c>
      <c r="F1598" s="4">
        <v>0.20352000000000001</v>
      </c>
    </row>
    <row r="1599" spans="1:6" x14ac:dyDescent="0.35">
      <c r="A1599" s="2" t="s">
        <v>2195</v>
      </c>
      <c r="B1599" s="6" t="e">
        <v>#N/A</v>
      </c>
      <c r="C1599" s="2" t="e">
        <v>#N/A</v>
      </c>
      <c r="D1599" s="4">
        <v>84.263189999999994</v>
      </c>
      <c r="E1599" s="4">
        <v>66.883189999999999</v>
      </c>
      <c r="F1599" s="4">
        <v>0.83318000000000003</v>
      </c>
    </row>
    <row r="1600" spans="1:6" x14ac:dyDescent="0.35">
      <c r="A1600" s="2" t="s">
        <v>2196</v>
      </c>
      <c r="B1600" s="6" t="e">
        <v>#N/A</v>
      </c>
      <c r="C1600" s="2" t="e">
        <v>#N/A</v>
      </c>
      <c r="D1600" s="4">
        <v>38.717359999999999</v>
      </c>
      <c r="E1600" s="4">
        <v>21.89507</v>
      </c>
      <c r="F1600" s="4">
        <v>0.27546999999999999</v>
      </c>
    </row>
    <row r="1601" spans="1:6" x14ac:dyDescent="0.35">
      <c r="A1601" s="2" t="s">
        <v>2197</v>
      </c>
      <c r="B1601" s="6" t="e">
        <v>#N/A</v>
      </c>
      <c r="C1601" s="2" t="e">
        <v>#N/A</v>
      </c>
      <c r="D1601" s="4">
        <v>9.3427199999999999</v>
      </c>
      <c r="E1601" s="4">
        <v>2.6553499999999999</v>
      </c>
      <c r="F1601" s="4">
        <v>4.6420000000000003E-2</v>
      </c>
    </row>
    <row r="1602" spans="1:6" x14ac:dyDescent="0.35">
      <c r="A1602" s="2" t="s">
        <v>2198</v>
      </c>
      <c r="B1602" s="6" t="e">
        <v>#N/A</v>
      </c>
      <c r="C1602" s="2" t="e">
        <v>#N/A</v>
      </c>
      <c r="D1602" s="4">
        <v>9.3458600000000001</v>
      </c>
      <c r="E1602" s="4">
        <v>2.6579899999999999</v>
      </c>
      <c r="F1602" s="4">
        <v>4.6920000000000003E-2</v>
      </c>
    </row>
    <row r="1603" spans="1:6" x14ac:dyDescent="0.35">
      <c r="A1603" s="2" t="s">
        <v>2199</v>
      </c>
      <c r="B1603" s="6" t="e">
        <v>#N/A</v>
      </c>
      <c r="C1603" s="2" t="e">
        <v>#N/A</v>
      </c>
      <c r="D1603" s="4">
        <v>10.9511</v>
      </c>
      <c r="E1603" s="4">
        <v>4.0284399999999998</v>
      </c>
      <c r="F1603" s="4">
        <v>5.7419999999999999E-2</v>
      </c>
    </row>
    <row r="1604" spans="1:6" x14ac:dyDescent="0.35">
      <c r="A1604" s="2" t="s">
        <v>2200</v>
      </c>
      <c r="B1604" s="6" t="e">
        <v>#N/A</v>
      </c>
      <c r="C1604" s="2" t="e">
        <v>#N/A</v>
      </c>
      <c r="D1604" s="4">
        <v>10.9511</v>
      </c>
      <c r="E1604" s="4">
        <v>4.0284399999999998</v>
      </c>
      <c r="F1604" s="4">
        <v>5.7419999999999999E-2</v>
      </c>
    </row>
    <row r="1605" spans="1:6" x14ac:dyDescent="0.35">
      <c r="A1605" s="2" t="s">
        <v>2201</v>
      </c>
      <c r="B1605" s="6" t="e">
        <v>#N/A</v>
      </c>
      <c r="C1605" s="2" t="e">
        <v>#N/A</v>
      </c>
      <c r="D1605" s="4">
        <v>24.120460000000001</v>
      </c>
      <c r="E1605" s="4">
        <v>15.391920000000001</v>
      </c>
      <c r="F1605" s="4">
        <v>0.28547</v>
      </c>
    </row>
    <row r="1606" spans="1:6" x14ac:dyDescent="0.35">
      <c r="A1606" s="2" t="s">
        <v>2202</v>
      </c>
      <c r="B1606" s="6" t="e">
        <v>#N/A</v>
      </c>
      <c r="C1606" s="2" t="e">
        <v>#N/A</v>
      </c>
      <c r="D1606" s="4">
        <v>25.945879999999999</v>
      </c>
      <c r="E1606" s="4">
        <v>15.391920000000001</v>
      </c>
      <c r="F1606" s="4">
        <v>0.28547</v>
      </c>
    </row>
    <row r="1607" spans="1:6" x14ac:dyDescent="0.35">
      <c r="A1607" s="2" t="s">
        <v>2203</v>
      </c>
      <c r="B1607" s="6" t="e">
        <v>#N/A</v>
      </c>
      <c r="C1607" s="2" t="e">
        <v>#N/A</v>
      </c>
      <c r="D1607" s="4">
        <v>24.130710000000001</v>
      </c>
      <c r="E1607" s="4">
        <v>15.40048</v>
      </c>
      <c r="F1607" s="4">
        <v>0.28716000000000003</v>
      </c>
    </row>
    <row r="1608" spans="1:6" x14ac:dyDescent="0.35">
      <c r="A1608" s="2" t="s">
        <v>2204</v>
      </c>
      <c r="B1608" s="6" t="e">
        <v>#N/A</v>
      </c>
      <c r="C1608" s="2" t="e">
        <v>#N/A</v>
      </c>
      <c r="D1608" s="4">
        <v>24.120460000000001</v>
      </c>
      <c r="E1608" s="4">
        <v>15.391920000000001</v>
      </c>
      <c r="F1608" s="4">
        <v>0.28547</v>
      </c>
    </row>
    <row r="1609" spans="1:6" x14ac:dyDescent="0.35">
      <c r="A1609" s="2" t="s">
        <v>2205</v>
      </c>
      <c r="B1609" s="6" t="e">
        <v>#N/A</v>
      </c>
      <c r="C1609" s="2" t="e">
        <v>#N/A</v>
      </c>
      <c r="D1609" s="4">
        <v>24.257349999999999</v>
      </c>
      <c r="E1609" s="4">
        <v>15.505129999999999</v>
      </c>
      <c r="F1609" s="4">
        <v>0.30914999999999998</v>
      </c>
    </row>
    <row r="1610" spans="1:6" x14ac:dyDescent="0.35">
      <c r="A1610" s="2" t="s">
        <v>2206</v>
      </c>
      <c r="B1610" s="6" t="e">
        <v>#N/A</v>
      </c>
      <c r="C1610" s="2" t="e">
        <v>#N/A</v>
      </c>
      <c r="D1610" s="4">
        <v>26.08277</v>
      </c>
      <c r="E1610" s="4">
        <v>15.505129999999999</v>
      </c>
      <c r="F1610" s="4">
        <v>0.30914999999999998</v>
      </c>
    </row>
    <row r="1611" spans="1:6" x14ac:dyDescent="0.35">
      <c r="A1611" s="2" t="s">
        <v>2207</v>
      </c>
      <c r="B1611" s="6" t="e">
        <v>#N/A</v>
      </c>
      <c r="C1611" s="2" t="e">
        <v>#N/A</v>
      </c>
      <c r="D1611" s="4">
        <v>9.1789199999999997</v>
      </c>
      <c r="E1611" s="4">
        <v>2.4980099999999998</v>
      </c>
      <c r="F1611" s="4">
        <v>3.9960000000000002E-2</v>
      </c>
    </row>
    <row r="1612" spans="1:6" x14ac:dyDescent="0.35">
      <c r="A1612" s="2" t="s">
        <v>2208</v>
      </c>
      <c r="B1612" s="6" t="e">
        <v>#N/A</v>
      </c>
      <c r="C1612" s="2" t="e">
        <v>#N/A</v>
      </c>
      <c r="D1612" s="4">
        <v>11.004339999999999</v>
      </c>
      <c r="E1612" s="4">
        <v>2.4980099999999998</v>
      </c>
      <c r="F1612" s="4">
        <v>3.9960000000000002E-2</v>
      </c>
    </row>
    <row r="1613" spans="1:6" x14ac:dyDescent="0.35">
      <c r="A1613" s="2" t="s">
        <v>2209</v>
      </c>
      <c r="B1613" s="6" t="e">
        <v>#N/A</v>
      </c>
      <c r="C1613" s="2" t="e">
        <v>#N/A</v>
      </c>
      <c r="D1613" s="4">
        <v>12.252409999999999</v>
      </c>
      <c r="E1613" s="4">
        <v>5.4841699999999998</v>
      </c>
      <c r="F1613" s="4">
        <v>8.3479999999999999E-2</v>
      </c>
    </row>
    <row r="1614" spans="1:6" x14ac:dyDescent="0.35">
      <c r="A1614" s="2" t="s">
        <v>2210</v>
      </c>
      <c r="B1614" s="6" t="e">
        <v>#N/A</v>
      </c>
      <c r="C1614" s="2" t="e">
        <v>#N/A</v>
      </c>
      <c r="D1614" s="4">
        <v>12.252409999999999</v>
      </c>
      <c r="E1614" s="4">
        <v>5.4841699999999998</v>
      </c>
      <c r="F1614" s="4">
        <v>8.3479999999999999E-2</v>
      </c>
    </row>
    <row r="1615" spans="1:6" x14ac:dyDescent="0.35">
      <c r="A1615" s="2" t="s">
        <v>2211</v>
      </c>
      <c r="B1615" s="6" t="e">
        <v>#N/A</v>
      </c>
      <c r="C1615" s="2" t="e">
        <v>#N/A</v>
      </c>
      <c r="D1615" s="4">
        <v>48.046869999999998</v>
      </c>
      <c r="E1615" s="4">
        <v>31.02103</v>
      </c>
      <c r="F1615" s="4">
        <v>0.47902</v>
      </c>
    </row>
    <row r="1616" spans="1:6" x14ac:dyDescent="0.35">
      <c r="A1616" s="2" t="s">
        <v>2212</v>
      </c>
      <c r="B1616" s="6" t="e">
        <v>#N/A</v>
      </c>
      <c r="C1616" s="2" t="e">
        <v>#N/A</v>
      </c>
      <c r="D1616" s="4">
        <v>48.046869999999998</v>
      </c>
      <c r="E1616" s="4">
        <v>31.02103</v>
      </c>
      <c r="F1616" s="4">
        <v>0.47902</v>
      </c>
    </row>
    <row r="1617" spans="1:6" x14ac:dyDescent="0.35">
      <c r="A1617" s="2" t="s">
        <v>2213</v>
      </c>
      <c r="B1617" s="6" t="e">
        <v>#N/A</v>
      </c>
      <c r="C1617" s="2" t="e">
        <v>#N/A</v>
      </c>
      <c r="D1617" s="4">
        <v>48.046869999999998</v>
      </c>
      <c r="E1617" s="4">
        <v>31.02103</v>
      </c>
      <c r="F1617" s="4">
        <v>0.47902</v>
      </c>
    </row>
    <row r="1618" spans="1:6" x14ac:dyDescent="0.35">
      <c r="A1618" s="2" t="s">
        <v>2214</v>
      </c>
      <c r="B1618" s="6" t="e">
        <v>#N/A</v>
      </c>
      <c r="C1618" s="2" t="e">
        <v>#N/A</v>
      </c>
      <c r="D1618" s="4">
        <v>9.9831099999999999</v>
      </c>
      <c r="E1618" s="4">
        <v>3.0682900000000002</v>
      </c>
      <c r="F1618" s="4">
        <v>4.9579999999999999E-2</v>
      </c>
    </row>
    <row r="1619" spans="1:6" x14ac:dyDescent="0.35">
      <c r="A1619" s="2" t="s">
        <v>2215</v>
      </c>
      <c r="B1619" s="6" t="e">
        <v>#N/A</v>
      </c>
      <c r="C1619" s="2" t="e">
        <v>#N/A</v>
      </c>
      <c r="D1619" s="4">
        <v>21.747810000000001</v>
      </c>
      <c r="E1619" s="4">
        <v>13.12016</v>
      </c>
      <c r="F1619" s="4">
        <v>0.18457999999999999</v>
      </c>
    </row>
    <row r="1620" spans="1:6" x14ac:dyDescent="0.35">
      <c r="A1620" s="2" t="s">
        <v>2216</v>
      </c>
      <c r="B1620" s="6" t="e">
        <v>#N/A</v>
      </c>
      <c r="C1620" s="2" t="e">
        <v>#N/A</v>
      </c>
      <c r="D1620" s="4">
        <v>21.747810000000001</v>
      </c>
      <c r="E1620" s="4">
        <v>13.12016</v>
      </c>
      <c r="F1620" s="4">
        <v>0.18457999999999999</v>
      </c>
    </row>
    <row r="1621" spans="1:6" x14ac:dyDescent="0.35">
      <c r="A1621" s="2" t="s">
        <v>2217</v>
      </c>
      <c r="B1621" s="6" t="e">
        <v>#N/A</v>
      </c>
      <c r="C1621" s="2" t="e">
        <v>#N/A</v>
      </c>
      <c r="D1621" s="4">
        <v>21.854869999999998</v>
      </c>
      <c r="E1621" s="4">
        <v>13.208920000000001</v>
      </c>
      <c r="F1621" s="4">
        <v>0.20288</v>
      </c>
    </row>
    <row r="1622" spans="1:6" x14ac:dyDescent="0.35">
      <c r="A1622" s="2" t="s">
        <v>2218</v>
      </c>
      <c r="B1622" s="6" t="e">
        <v>#N/A</v>
      </c>
      <c r="C1622" s="2" t="e">
        <v>#N/A</v>
      </c>
      <c r="D1622" s="4">
        <v>22.415130000000001</v>
      </c>
      <c r="E1622" s="4">
        <v>13.78748</v>
      </c>
      <c r="F1622" s="4">
        <v>0.18457999999999999</v>
      </c>
    </row>
    <row r="1623" spans="1:6" x14ac:dyDescent="0.35">
      <c r="A1623" s="2" t="s">
        <v>2219</v>
      </c>
      <c r="B1623" s="6" t="e">
        <v>#N/A</v>
      </c>
      <c r="C1623" s="2" t="e">
        <v>#N/A</v>
      </c>
      <c r="D1623" s="4">
        <v>84.263189999999994</v>
      </c>
      <c r="E1623" s="4">
        <v>66.883189999999999</v>
      </c>
      <c r="F1623" s="4">
        <v>0.83318000000000003</v>
      </c>
    </row>
    <row r="1624" spans="1:6" x14ac:dyDescent="0.35">
      <c r="A1624" s="2" t="s">
        <v>2220</v>
      </c>
      <c r="B1624" s="6" t="e">
        <v>#N/A</v>
      </c>
      <c r="C1624" s="2" t="e">
        <v>#N/A</v>
      </c>
      <c r="D1624" s="4">
        <v>84.263189999999994</v>
      </c>
      <c r="E1624" s="4">
        <v>66.883189999999999</v>
      </c>
      <c r="F1624" s="4">
        <v>0.83318000000000003</v>
      </c>
    </row>
    <row r="1625" spans="1:6" x14ac:dyDescent="0.35">
      <c r="A1625" s="2" t="s">
        <v>2221</v>
      </c>
      <c r="B1625" s="6" t="e">
        <v>#N/A</v>
      </c>
      <c r="C1625" s="2" t="e">
        <v>#N/A</v>
      </c>
      <c r="D1625" s="4">
        <v>19.701820000000001</v>
      </c>
      <c r="E1625" s="4">
        <v>11.039339999999999</v>
      </c>
      <c r="F1625" s="4">
        <v>0.21940999999999999</v>
      </c>
    </row>
    <row r="1626" spans="1:6" x14ac:dyDescent="0.35">
      <c r="A1626" s="2" t="s">
        <v>2222</v>
      </c>
      <c r="B1626" s="6" t="e">
        <v>#N/A</v>
      </c>
      <c r="C1626" s="2" t="e">
        <v>#N/A</v>
      </c>
      <c r="D1626" s="4">
        <v>19.701820000000001</v>
      </c>
      <c r="E1626" s="4">
        <v>11.039339999999999</v>
      </c>
      <c r="F1626" s="4">
        <v>0.21940999999999999</v>
      </c>
    </row>
    <row r="1627" spans="1:6" x14ac:dyDescent="0.35">
      <c r="A1627" s="2" t="s">
        <v>2223</v>
      </c>
      <c r="B1627" s="6" t="e">
        <v>#N/A</v>
      </c>
      <c r="C1627" s="2" t="e">
        <v>#N/A</v>
      </c>
      <c r="D1627" s="4">
        <v>19.701820000000001</v>
      </c>
      <c r="E1627" s="4">
        <v>11.039339999999999</v>
      </c>
      <c r="F1627" s="4">
        <v>0.21940999999999999</v>
      </c>
    </row>
    <row r="1628" spans="1:6" x14ac:dyDescent="0.35">
      <c r="A1628" s="2" t="s">
        <v>2224</v>
      </c>
      <c r="B1628" s="6" t="e">
        <v>#N/A</v>
      </c>
      <c r="C1628" s="2" t="e">
        <v>#N/A</v>
      </c>
      <c r="D1628" s="4">
        <v>21.527239999999999</v>
      </c>
      <c r="E1628" s="4">
        <v>11.039339999999999</v>
      </c>
      <c r="F1628" s="4">
        <v>0.21940999999999999</v>
      </c>
    </row>
    <row r="1629" spans="1:6" x14ac:dyDescent="0.35">
      <c r="A1629" s="2" t="s">
        <v>2225</v>
      </c>
      <c r="B1629" s="6" t="e">
        <v>#N/A</v>
      </c>
      <c r="C1629" s="2" t="e">
        <v>#N/A</v>
      </c>
      <c r="D1629" s="4">
        <v>19.701820000000001</v>
      </c>
      <c r="E1629" s="4">
        <v>11.039339999999999</v>
      </c>
      <c r="F1629" s="4">
        <v>0.21940999999999999</v>
      </c>
    </row>
    <row r="1630" spans="1:6" x14ac:dyDescent="0.35">
      <c r="A1630" s="2" t="s">
        <v>2226</v>
      </c>
      <c r="B1630" s="6" t="e">
        <v>#N/A</v>
      </c>
      <c r="C1630" s="2" t="e">
        <v>#N/A</v>
      </c>
      <c r="D1630" s="4">
        <v>41.343820000000001</v>
      </c>
      <c r="E1630" s="4">
        <v>22.63</v>
      </c>
      <c r="F1630" s="4">
        <v>0.34157999999999999</v>
      </c>
    </row>
    <row r="1631" spans="1:6" x14ac:dyDescent="0.35">
      <c r="A1631" s="2" t="s">
        <v>2227</v>
      </c>
      <c r="B1631" s="6" t="e">
        <v>#N/A</v>
      </c>
      <c r="C1631" s="2" t="e">
        <v>#N/A</v>
      </c>
      <c r="D1631" s="4">
        <v>35.287289999999999</v>
      </c>
      <c r="E1631" s="4">
        <v>19.929659999999998</v>
      </c>
      <c r="F1631" s="4">
        <v>0.32277</v>
      </c>
    </row>
    <row r="1632" spans="1:6" x14ac:dyDescent="0.35">
      <c r="A1632" s="2" t="s">
        <v>2228</v>
      </c>
      <c r="B1632" s="6" t="e">
        <v>#N/A</v>
      </c>
      <c r="C1632" s="2" t="e">
        <v>#N/A</v>
      </c>
      <c r="D1632" s="4">
        <v>10.42423</v>
      </c>
      <c r="E1632" s="4">
        <v>3.5093100000000002</v>
      </c>
      <c r="F1632" s="4">
        <v>4.9680000000000002E-2</v>
      </c>
    </row>
    <row r="1633" spans="1:6" x14ac:dyDescent="0.35">
      <c r="A1633" s="2" t="s">
        <v>2229</v>
      </c>
      <c r="B1633" s="6" t="e">
        <v>#N/A</v>
      </c>
      <c r="C1633" s="2" t="e">
        <v>#N/A</v>
      </c>
      <c r="D1633" s="4">
        <v>11.380570000000001</v>
      </c>
      <c r="E1633" s="4">
        <v>4.6937800000000003</v>
      </c>
      <c r="F1633" s="4">
        <v>6.7960000000000007E-2</v>
      </c>
    </row>
    <row r="1634" spans="1:6" x14ac:dyDescent="0.35">
      <c r="A1634" s="2" t="s">
        <v>2230</v>
      </c>
      <c r="B1634" s="6" t="e">
        <v>#N/A</v>
      </c>
      <c r="C1634" s="2" t="e">
        <v>#N/A</v>
      </c>
      <c r="D1634" s="4">
        <v>36.548900000000003</v>
      </c>
      <c r="E1634" s="4">
        <v>21.512250000000002</v>
      </c>
      <c r="F1634" s="4">
        <v>0.24817</v>
      </c>
    </row>
    <row r="1635" spans="1:6" x14ac:dyDescent="0.35">
      <c r="A1635" s="2" t="s">
        <v>2231</v>
      </c>
      <c r="B1635" s="6" t="e">
        <v>#N/A</v>
      </c>
      <c r="C1635" s="2" t="e">
        <v>#N/A</v>
      </c>
      <c r="D1635" s="4">
        <v>34.128700000000002</v>
      </c>
      <c r="E1635" s="4">
        <v>19.09205</v>
      </c>
      <c r="F1635" s="4">
        <v>0.24817</v>
      </c>
    </row>
    <row r="1636" spans="1:6" x14ac:dyDescent="0.35">
      <c r="A1636" s="2" t="s">
        <v>2232</v>
      </c>
      <c r="B1636" s="6" t="e">
        <v>#N/A</v>
      </c>
      <c r="C1636" s="2" t="e">
        <v>#N/A</v>
      </c>
      <c r="D1636" s="4">
        <v>35.330979999999997</v>
      </c>
      <c r="E1636" s="4">
        <v>20.212869999999999</v>
      </c>
      <c r="F1636" s="4">
        <v>0.32962999999999998</v>
      </c>
    </row>
    <row r="1637" spans="1:6" x14ac:dyDescent="0.35">
      <c r="A1637" s="2" t="s">
        <v>2233</v>
      </c>
      <c r="B1637" s="6" t="e">
        <v>#N/A</v>
      </c>
      <c r="C1637" s="2" t="e">
        <v>#N/A</v>
      </c>
      <c r="D1637" s="4">
        <v>37.156399999999998</v>
      </c>
      <c r="E1637" s="4">
        <v>20.212869999999999</v>
      </c>
      <c r="F1637" s="4">
        <v>0.32962999999999998</v>
      </c>
    </row>
    <row r="1638" spans="1:6" x14ac:dyDescent="0.35">
      <c r="A1638" s="2" t="s">
        <v>2234</v>
      </c>
      <c r="B1638" s="6" t="e">
        <v>#N/A</v>
      </c>
      <c r="C1638" s="2" t="e">
        <v>#N/A</v>
      </c>
      <c r="D1638" s="4">
        <v>34.77102</v>
      </c>
      <c r="E1638" s="4">
        <v>19.77647</v>
      </c>
      <c r="F1638" s="4">
        <v>0.20607</v>
      </c>
    </row>
    <row r="1639" spans="1:6" x14ac:dyDescent="0.35">
      <c r="A1639" s="2" t="s">
        <v>2235</v>
      </c>
      <c r="B1639" s="6" t="e">
        <v>#N/A</v>
      </c>
      <c r="C1639" s="2" t="e">
        <v>#N/A</v>
      </c>
      <c r="D1639" s="4">
        <v>11.32335</v>
      </c>
      <c r="E1639" s="4">
        <v>4.6475600000000004</v>
      </c>
      <c r="F1639" s="4">
        <v>5.6959999999999997E-2</v>
      </c>
    </row>
    <row r="1640" spans="1:6" x14ac:dyDescent="0.35">
      <c r="A1640" s="2" t="s">
        <v>2236</v>
      </c>
      <c r="B1640" s="6" t="e">
        <v>#N/A</v>
      </c>
      <c r="C1640" s="2" t="e">
        <v>#N/A</v>
      </c>
      <c r="D1640" s="4">
        <v>11.32694</v>
      </c>
      <c r="E1640" s="4">
        <v>4.6505599999999996</v>
      </c>
      <c r="F1640" s="4">
        <v>5.7549999999999997E-2</v>
      </c>
    </row>
    <row r="1641" spans="1:6" x14ac:dyDescent="0.35">
      <c r="A1641" s="2" t="s">
        <v>2237</v>
      </c>
      <c r="B1641" s="6" t="e">
        <v>#N/A</v>
      </c>
      <c r="C1641" s="2" t="e">
        <v>#N/A</v>
      </c>
      <c r="D1641" s="4">
        <v>13.247260000000001</v>
      </c>
      <c r="E1641" s="4">
        <v>4.7460500000000003</v>
      </c>
      <c r="F1641" s="4">
        <v>5.6959999999999997E-2</v>
      </c>
    </row>
    <row r="1642" spans="1:6" x14ac:dyDescent="0.35">
      <c r="A1642" s="2" t="s">
        <v>2238</v>
      </c>
      <c r="B1642" s="6" t="e">
        <v>#N/A</v>
      </c>
      <c r="C1642" s="2" t="e">
        <v>#N/A</v>
      </c>
      <c r="D1642" s="4">
        <v>11.17807</v>
      </c>
      <c r="E1642" s="4">
        <v>4.5000400000000003</v>
      </c>
      <c r="F1642" s="4">
        <v>5.9200000000000003E-2</v>
      </c>
    </row>
    <row r="1643" spans="1:6" x14ac:dyDescent="0.35">
      <c r="A1643" s="2" t="s">
        <v>2239</v>
      </c>
      <c r="B1643" s="6" t="e">
        <v>#N/A</v>
      </c>
      <c r="C1643" s="2" t="e">
        <v>#N/A</v>
      </c>
      <c r="D1643" s="4">
        <v>15.553520000000001</v>
      </c>
      <c r="E1643" s="4">
        <v>8.7408800000000006</v>
      </c>
      <c r="F1643" s="4">
        <v>0.12787999999999999</v>
      </c>
    </row>
    <row r="1644" spans="1:6" x14ac:dyDescent="0.35">
      <c r="A1644" s="2" t="s">
        <v>2240</v>
      </c>
      <c r="B1644" s="6" t="e">
        <v>#N/A</v>
      </c>
      <c r="C1644" s="2" t="e">
        <v>#N/A</v>
      </c>
      <c r="D1644" s="4">
        <v>20.11703</v>
      </c>
      <c r="E1644" s="4">
        <v>9.60337</v>
      </c>
      <c r="F1644" s="4">
        <v>0.12787999999999999</v>
      </c>
    </row>
    <row r="1645" spans="1:6" x14ac:dyDescent="0.35">
      <c r="A1645" s="2" t="s">
        <v>2241</v>
      </c>
      <c r="B1645" s="6" t="e">
        <v>#N/A</v>
      </c>
      <c r="C1645" s="2" t="e">
        <v>#N/A</v>
      </c>
      <c r="D1645" s="4">
        <v>11.57921</v>
      </c>
      <c r="E1645" s="4">
        <v>4.8103800000000003</v>
      </c>
      <c r="F1645" s="4">
        <v>8.4070000000000006E-2</v>
      </c>
    </row>
    <row r="1646" spans="1:6" x14ac:dyDescent="0.35">
      <c r="A1646" s="2" t="s">
        <v>2242</v>
      </c>
      <c r="B1646" s="6" t="e">
        <v>#N/A</v>
      </c>
      <c r="C1646" s="2" t="e">
        <v>#N/A</v>
      </c>
      <c r="D1646" s="4">
        <v>11.57921</v>
      </c>
      <c r="E1646" s="4">
        <v>4.8103800000000003</v>
      </c>
      <c r="F1646" s="4">
        <v>8.4070000000000006E-2</v>
      </c>
    </row>
    <row r="1647" spans="1:6" x14ac:dyDescent="0.35">
      <c r="A1647" s="2" t="s">
        <v>2243</v>
      </c>
      <c r="B1647" s="6" t="e">
        <v>#N/A</v>
      </c>
      <c r="C1647" s="2" t="e">
        <v>#N/A</v>
      </c>
      <c r="D1647" s="4">
        <v>24.122800000000002</v>
      </c>
      <c r="E1647" s="4">
        <v>15.39386</v>
      </c>
      <c r="F1647" s="4">
        <v>0.28587000000000001</v>
      </c>
    </row>
    <row r="1648" spans="1:6" x14ac:dyDescent="0.35">
      <c r="A1648" s="2" t="s">
        <v>2244</v>
      </c>
      <c r="B1648" s="6" t="e">
        <v>#N/A</v>
      </c>
      <c r="C1648" s="2" t="e">
        <v>#N/A</v>
      </c>
      <c r="D1648" s="4">
        <v>24.42953</v>
      </c>
      <c r="E1648" s="4">
        <v>15.70059</v>
      </c>
      <c r="F1648" s="4">
        <v>0.28587000000000001</v>
      </c>
    </row>
    <row r="1649" spans="1:6" x14ac:dyDescent="0.35">
      <c r="A1649" s="2" t="s">
        <v>2245</v>
      </c>
      <c r="B1649" s="6" t="e">
        <v>#N/A</v>
      </c>
      <c r="C1649" s="2" t="e">
        <v>#N/A</v>
      </c>
      <c r="D1649" s="4">
        <v>25.948219999999999</v>
      </c>
      <c r="E1649" s="4">
        <v>15.39386</v>
      </c>
      <c r="F1649" s="4">
        <v>0.28587000000000001</v>
      </c>
    </row>
    <row r="1650" spans="1:6" x14ac:dyDescent="0.35">
      <c r="A1650" s="2" t="s">
        <v>2246</v>
      </c>
      <c r="B1650" s="6" t="e">
        <v>#N/A</v>
      </c>
      <c r="C1650" s="2" t="e">
        <v>#N/A</v>
      </c>
      <c r="D1650" s="4">
        <v>24.122800000000002</v>
      </c>
      <c r="E1650" s="4">
        <v>15.39386</v>
      </c>
      <c r="F1650" s="4">
        <v>0.28587000000000001</v>
      </c>
    </row>
    <row r="1651" spans="1:6" x14ac:dyDescent="0.35">
      <c r="A1651" s="2" t="s">
        <v>2247</v>
      </c>
      <c r="B1651" s="6" t="e">
        <v>#N/A</v>
      </c>
      <c r="C1651" s="2" t="e">
        <v>#N/A</v>
      </c>
      <c r="D1651" s="4">
        <v>48.046869999999998</v>
      </c>
      <c r="E1651" s="4">
        <v>31.02103</v>
      </c>
      <c r="F1651" s="4">
        <v>0.47902</v>
      </c>
    </row>
    <row r="1652" spans="1:6" x14ac:dyDescent="0.35">
      <c r="A1652" s="2" t="s">
        <v>2248</v>
      </c>
      <c r="B1652" s="6" t="e">
        <v>#N/A</v>
      </c>
      <c r="C1652" s="2" t="e">
        <v>#N/A</v>
      </c>
      <c r="D1652" s="4">
        <v>48.046869999999998</v>
      </c>
      <c r="E1652" s="4">
        <v>31.02103</v>
      </c>
      <c r="F1652" s="4">
        <v>0.47902</v>
      </c>
    </row>
    <row r="1653" spans="1:6" x14ac:dyDescent="0.35">
      <c r="A1653" s="2" t="s">
        <v>2249</v>
      </c>
      <c r="B1653" s="6" t="e">
        <v>#N/A</v>
      </c>
      <c r="C1653" s="2" t="e">
        <v>#N/A</v>
      </c>
      <c r="D1653" s="4">
        <v>21.476420000000001</v>
      </c>
      <c r="E1653" s="4">
        <v>12.848839999999999</v>
      </c>
      <c r="F1653" s="4">
        <v>0.18451000000000001</v>
      </c>
    </row>
    <row r="1654" spans="1:6" x14ac:dyDescent="0.35">
      <c r="A1654" s="2" t="s">
        <v>2250</v>
      </c>
      <c r="B1654" s="6" t="e">
        <v>#N/A</v>
      </c>
      <c r="C1654" s="2" t="e">
        <v>#N/A</v>
      </c>
      <c r="D1654" s="4">
        <v>22.681370000000001</v>
      </c>
      <c r="E1654" s="4">
        <v>14.024839999999999</v>
      </c>
      <c r="F1654" s="4">
        <v>0.21346000000000001</v>
      </c>
    </row>
    <row r="1655" spans="1:6" x14ac:dyDescent="0.35">
      <c r="A1655" s="2" t="s">
        <v>2251</v>
      </c>
      <c r="B1655" s="6" t="e">
        <v>#N/A</v>
      </c>
      <c r="C1655" s="2" t="e">
        <v>#N/A</v>
      </c>
      <c r="D1655" s="4">
        <v>21.476420000000001</v>
      </c>
      <c r="E1655" s="4">
        <v>12.848839999999999</v>
      </c>
      <c r="F1655" s="4">
        <v>0.18451000000000001</v>
      </c>
    </row>
    <row r="1656" spans="1:6" x14ac:dyDescent="0.35">
      <c r="A1656" s="2" t="s">
        <v>2252</v>
      </c>
      <c r="B1656" s="6" t="e">
        <v>#N/A</v>
      </c>
      <c r="C1656" s="2" t="e">
        <v>#N/A</v>
      </c>
      <c r="D1656" s="4">
        <v>15.953430000000001</v>
      </c>
      <c r="E1656" s="4">
        <v>5.4841699999999998</v>
      </c>
      <c r="F1656" s="4">
        <v>8.3479999999999999E-2</v>
      </c>
    </row>
    <row r="1657" spans="1:6" x14ac:dyDescent="0.35">
      <c r="A1657" s="2" t="s">
        <v>2253</v>
      </c>
      <c r="B1657" s="6" t="e">
        <v>#N/A</v>
      </c>
      <c r="C1657" s="2" t="e">
        <v>#N/A</v>
      </c>
      <c r="D1657" s="4">
        <v>47.868870000000001</v>
      </c>
      <c r="E1657" s="4">
        <v>42.068570000000001</v>
      </c>
      <c r="F1657" s="4">
        <v>0.32586999999999999</v>
      </c>
    </row>
    <row r="1658" spans="1:6" x14ac:dyDescent="0.35">
      <c r="A1658" s="2" t="s">
        <v>2254</v>
      </c>
      <c r="B1658" s="6" t="e">
        <v>#N/A</v>
      </c>
      <c r="C1658" s="2" t="e">
        <v>#N/A</v>
      </c>
      <c r="D1658" s="4">
        <v>49.13982</v>
      </c>
      <c r="E1658" s="4">
        <v>43.316470000000002</v>
      </c>
      <c r="F1658" s="4">
        <v>0.34892000000000001</v>
      </c>
    </row>
    <row r="1659" spans="1:6" x14ac:dyDescent="0.35">
      <c r="A1659" s="2" t="s">
        <v>2255</v>
      </c>
      <c r="B1659" s="6" t="e">
        <v>#N/A</v>
      </c>
      <c r="C1659" s="2" t="e">
        <v>#N/A</v>
      </c>
      <c r="D1659" s="4">
        <v>51.401339999999998</v>
      </c>
      <c r="E1659" s="4">
        <v>45.583109999999998</v>
      </c>
      <c r="F1659" s="4">
        <v>0.34379999999999999</v>
      </c>
    </row>
    <row r="1660" spans="1:6" x14ac:dyDescent="0.35">
      <c r="A1660" s="2" t="s">
        <v>2256</v>
      </c>
      <c r="B1660" s="6" t="e">
        <v>#N/A</v>
      </c>
      <c r="C1660" s="2" t="e">
        <v>#N/A</v>
      </c>
      <c r="D1660" s="4">
        <v>8.6561699999999995</v>
      </c>
      <c r="E1660" s="4">
        <v>5.3188700000000004</v>
      </c>
      <c r="F1660" s="4">
        <v>6.1089999999999998E-2</v>
      </c>
    </row>
    <row r="1661" spans="1:6" x14ac:dyDescent="0.35">
      <c r="A1661" s="2" t="s">
        <v>2257</v>
      </c>
      <c r="B1661" s="6" t="e">
        <v>#N/A</v>
      </c>
      <c r="C1661" s="2" t="e">
        <v>#N/A</v>
      </c>
      <c r="D1661" s="4">
        <v>8.7908899999999992</v>
      </c>
      <c r="E1661" s="4">
        <v>5.3322700000000003</v>
      </c>
      <c r="F1661" s="4">
        <v>6.1089999999999998E-2</v>
      </c>
    </row>
    <row r="1662" spans="1:6" x14ac:dyDescent="0.35">
      <c r="A1662" s="2" t="s">
        <v>2258</v>
      </c>
      <c r="B1662" s="6" t="e">
        <v>#N/A</v>
      </c>
      <c r="C1662" s="2" t="e">
        <v>#N/A</v>
      </c>
      <c r="D1662" s="4">
        <v>6.14208</v>
      </c>
      <c r="E1662" s="4">
        <v>2.5472399999999999</v>
      </c>
      <c r="F1662" s="4">
        <v>3.2050000000000002E-2</v>
      </c>
    </row>
    <row r="1663" spans="1:6" x14ac:dyDescent="0.35">
      <c r="A1663" s="2" t="s">
        <v>2259</v>
      </c>
      <c r="B1663" s="6" t="e">
        <v>#N/A</v>
      </c>
      <c r="C1663" s="2" t="e">
        <v>#N/A</v>
      </c>
      <c r="D1663" s="4">
        <v>6.14208</v>
      </c>
      <c r="E1663" s="4">
        <v>2.5472399999999999</v>
      </c>
      <c r="F1663" s="4">
        <v>3.2050000000000002E-2</v>
      </c>
    </row>
    <row r="1664" spans="1:6" x14ac:dyDescent="0.35">
      <c r="A1664" s="2" t="s">
        <v>2260</v>
      </c>
      <c r="B1664" s="6" t="e">
        <v>#N/A</v>
      </c>
      <c r="C1664" s="2" t="e">
        <v>#N/A</v>
      </c>
      <c r="D1664" s="4">
        <v>6.14208</v>
      </c>
      <c r="E1664" s="4">
        <v>2.5472399999999999</v>
      </c>
      <c r="F1664" s="4">
        <v>3.2050000000000002E-2</v>
      </c>
    </row>
    <row r="1665" spans="1:6" x14ac:dyDescent="0.35">
      <c r="A1665" s="2" t="s">
        <v>2261</v>
      </c>
      <c r="B1665" s="6" t="e">
        <v>#N/A</v>
      </c>
      <c r="C1665" s="2" t="e">
        <v>#N/A</v>
      </c>
      <c r="D1665" s="4">
        <v>6.2667000000000002</v>
      </c>
      <c r="E1665" s="4">
        <v>2.5505399999999998</v>
      </c>
      <c r="F1665" s="4">
        <v>3.2050000000000002E-2</v>
      </c>
    </row>
    <row r="1666" spans="1:6" x14ac:dyDescent="0.35">
      <c r="A1666" s="2" t="s">
        <v>2262</v>
      </c>
      <c r="B1666" s="6" t="e">
        <v>#N/A</v>
      </c>
      <c r="C1666" s="2" t="e">
        <v>#N/A</v>
      </c>
      <c r="D1666" s="4">
        <v>6.2667000000000002</v>
      </c>
      <c r="E1666" s="4">
        <v>2.5505399999999998</v>
      </c>
      <c r="F1666" s="4">
        <v>3.2050000000000002E-2</v>
      </c>
    </row>
    <row r="1667" spans="1:6" x14ac:dyDescent="0.35">
      <c r="A1667" s="2" t="s">
        <v>2263</v>
      </c>
      <c r="B1667" s="6" t="e">
        <v>#N/A</v>
      </c>
      <c r="C1667" s="2" t="e">
        <v>#N/A</v>
      </c>
      <c r="D1667" s="4">
        <v>6.2667000000000002</v>
      </c>
      <c r="E1667" s="4">
        <v>2.5505399999999998</v>
      </c>
      <c r="F1667" s="4">
        <v>3.2050000000000002E-2</v>
      </c>
    </row>
    <row r="1668" spans="1:6" x14ac:dyDescent="0.35">
      <c r="A1668" s="2" t="s">
        <v>2264</v>
      </c>
      <c r="B1668" s="6" t="e">
        <v>#N/A</v>
      </c>
      <c r="C1668" s="2" t="e">
        <v>#N/A</v>
      </c>
      <c r="D1668" s="4">
        <v>6.2667000000000002</v>
      </c>
      <c r="E1668" s="4">
        <v>2.5505399999999998</v>
      </c>
      <c r="F1668" s="4">
        <v>3.2050000000000002E-2</v>
      </c>
    </row>
    <row r="1669" spans="1:6" x14ac:dyDescent="0.35">
      <c r="A1669" s="2" t="s">
        <v>2265</v>
      </c>
      <c r="B1669" s="6" t="e">
        <v>#N/A</v>
      </c>
      <c r="C1669" s="2" t="e">
        <v>#N/A</v>
      </c>
      <c r="D1669" s="4">
        <v>6.9101400000000002</v>
      </c>
      <c r="E1669" s="4">
        <v>3.5370699999999999</v>
      </c>
      <c r="F1669" s="4">
        <v>4.1110000000000001E-2</v>
      </c>
    </row>
    <row r="1670" spans="1:6" x14ac:dyDescent="0.35">
      <c r="A1670" s="2" t="s">
        <v>2266</v>
      </c>
      <c r="B1670" s="6" t="e">
        <v>#N/A</v>
      </c>
      <c r="C1670" s="2" t="e">
        <v>#N/A</v>
      </c>
      <c r="D1670" s="4">
        <v>7.1431500000000003</v>
      </c>
      <c r="E1670" s="4">
        <v>3.4409700000000001</v>
      </c>
      <c r="F1670" s="4">
        <v>3.9890000000000002E-2</v>
      </c>
    </row>
    <row r="1671" spans="1:6" x14ac:dyDescent="0.35">
      <c r="A1671" s="2" t="s">
        <v>2267</v>
      </c>
      <c r="B1671" s="6" t="e">
        <v>#N/A</v>
      </c>
      <c r="C1671" s="2" t="e">
        <v>#N/A</v>
      </c>
      <c r="D1671" s="4">
        <v>7.1431500000000003</v>
      </c>
      <c r="E1671" s="4">
        <v>3.4409700000000001</v>
      </c>
      <c r="F1671" s="4">
        <v>3.9890000000000002E-2</v>
      </c>
    </row>
    <row r="1672" spans="1:6" x14ac:dyDescent="0.35">
      <c r="A1672" s="2" t="s">
        <v>2268</v>
      </c>
      <c r="B1672" s="6" t="e">
        <v>#N/A</v>
      </c>
      <c r="C1672" s="2" t="e">
        <v>#N/A</v>
      </c>
      <c r="D1672" s="4">
        <v>6.9101400000000002</v>
      </c>
      <c r="E1672" s="4">
        <v>3.5370699999999999</v>
      </c>
      <c r="F1672" s="4">
        <v>4.1110000000000001E-2</v>
      </c>
    </row>
    <row r="1673" spans="1:6" x14ac:dyDescent="0.35">
      <c r="A1673" s="2" t="s">
        <v>2269</v>
      </c>
      <c r="B1673" s="6" t="e">
        <v>#N/A</v>
      </c>
      <c r="C1673" s="2" t="e">
        <v>#N/A</v>
      </c>
      <c r="D1673" s="4">
        <v>7.7741199999999999</v>
      </c>
      <c r="E1673" s="4">
        <v>4.38375</v>
      </c>
      <c r="F1673" s="4">
        <v>5.8409999999999997E-2</v>
      </c>
    </row>
    <row r="1674" spans="1:6" x14ac:dyDescent="0.35">
      <c r="A1674" s="2" t="s">
        <v>2270</v>
      </c>
      <c r="B1674" s="6" t="e">
        <v>#N/A</v>
      </c>
      <c r="C1674" s="2" t="e">
        <v>#N/A</v>
      </c>
      <c r="D1674" s="4">
        <v>6.8498700000000001</v>
      </c>
      <c r="E1674" s="4">
        <v>3.4374500000000001</v>
      </c>
      <c r="F1674" s="4">
        <v>3.9890000000000002E-2</v>
      </c>
    </row>
    <row r="1675" spans="1:6" x14ac:dyDescent="0.35">
      <c r="A1675" s="2" t="s">
        <v>2271</v>
      </c>
      <c r="B1675" s="6" t="e">
        <v>#N/A</v>
      </c>
      <c r="C1675" s="2" t="e">
        <v>#N/A</v>
      </c>
      <c r="D1675" s="4">
        <v>6.8498700000000001</v>
      </c>
      <c r="E1675" s="4">
        <v>3.4374500000000001</v>
      </c>
      <c r="F1675" s="4">
        <v>3.9890000000000002E-2</v>
      </c>
    </row>
    <row r="1676" spans="1:6" x14ac:dyDescent="0.35">
      <c r="A1676" s="2" t="s">
        <v>2272</v>
      </c>
      <c r="B1676" s="6" t="e">
        <v>#N/A</v>
      </c>
      <c r="C1676" s="2" t="e">
        <v>#N/A</v>
      </c>
      <c r="D1676" s="4">
        <v>6.8498700000000001</v>
      </c>
      <c r="E1676" s="4">
        <v>3.4374500000000001</v>
      </c>
      <c r="F1676" s="4">
        <v>3.9890000000000002E-2</v>
      </c>
    </row>
    <row r="1677" spans="1:6" x14ac:dyDescent="0.35">
      <c r="A1677" s="2" t="s">
        <v>2273</v>
      </c>
      <c r="B1677" s="6" t="e">
        <v>#N/A</v>
      </c>
      <c r="C1677" s="2" t="e">
        <v>#N/A</v>
      </c>
      <c r="D1677" s="4">
        <v>5.9845600000000001</v>
      </c>
      <c r="E1677" s="4">
        <v>2.3960499999999998</v>
      </c>
      <c r="F1677" s="4">
        <v>2.572E-2</v>
      </c>
    </row>
    <row r="1678" spans="1:6" x14ac:dyDescent="0.35">
      <c r="A1678" s="2" t="s">
        <v>2274</v>
      </c>
      <c r="B1678" s="6" t="e">
        <v>#N/A</v>
      </c>
      <c r="C1678" s="2" t="e">
        <v>#N/A</v>
      </c>
      <c r="D1678" s="4">
        <v>6.3956400000000002</v>
      </c>
      <c r="E1678" s="4">
        <v>2.3960499999999998</v>
      </c>
      <c r="F1678" s="4">
        <v>2.572E-2</v>
      </c>
    </row>
    <row r="1679" spans="1:6" x14ac:dyDescent="0.35">
      <c r="A1679" s="2" t="s">
        <v>2275</v>
      </c>
      <c r="B1679" s="6" t="e">
        <v>#N/A</v>
      </c>
      <c r="C1679" s="2" t="e">
        <v>#N/A</v>
      </c>
      <c r="D1679" s="4">
        <v>5.9845600000000001</v>
      </c>
      <c r="E1679" s="4">
        <v>2.3960499999999998</v>
      </c>
      <c r="F1679" s="4">
        <v>2.572E-2</v>
      </c>
    </row>
    <row r="1680" spans="1:6" x14ac:dyDescent="0.35">
      <c r="A1680" s="2" t="s">
        <v>2276</v>
      </c>
      <c r="B1680" s="6" t="e">
        <v>#N/A</v>
      </c>
      <c r="C1680" s="2" t="e">
        <v>#N/A</v>
      </c>
      <c r="D1680" s="4">
        <v>5.9759700000000002</v>
      </c>
      <c r="E1680" s="4">
        <v>2.3874599999999999</v>
      </c>
      <c r="F1680" s="4">
        <v>2.572E-2</v>
      </c>
    </row>
    <row r="1681" spans="1:6" x14ac:dyDescent="0.35">
      <c r="A1681" s="2" t="s">
        <v>2277</v>
      </c>
      <c r="B1681" s="6" t="e">
        <v>#N/A</v>
      </c>
      <c r="C1681" s="2" t="e">
        <v>#N/A</v>
      </c>
      <c r="D1681" s="4">
        <v>5.9845600000000001</v>
      </c>
      <c r="E1681" s="4">
        <v>2.3960499999999998</v>
      </c>
      <c r="F1681" s="4">
        <v>2.572E-2</v>
      </c>
    </row>
    <row r="1682" spans="1:6" x14ac:dyDescent="0.35">
      <c r="A1682" s="2" t="s">
        <v>2278</v>
      </c>
      <c r="B1682" s="6" t="e">
        <v>#N/A</v>
      </c>
      <c r="C1682" s="2" t="e">
        <v>#N/A</v>
      </c>
      <c r="D1682" s="4">
        <v>6.1091800000000003</v>
      </c>
      <c r="E1682" s="4">
        <v>2.3993500000000001</v>
      </c>
      <c r="F1682" s="4">
        <v>2.572E-2</v>
      </c>
    </row>
    <row r="1683" spans="1:6" x14ac:dyDescent="0.35">
      <c r="A1683" s="2" t="s">
        <v>2279</v>
      </c>
      <c r="B1683" s="6" t="e">
        <v>#N/A</v>
      </c>
      <c r="C1683" s="2" t="e">
        <v>#N/A</v>
      </c>
      <c r="D1683" s="4">
        <v>6.1091800000000003</v>
      </c>
      <c r="E1683" s="4">
        <v>2.3993500000000001</v>
      </c>
      <c r="F1683" s="4">
        <v>2.572E-2</v>
      </c>
    </row>
    <row r="1684" spans="1:6" x14ac:dyDescent="0.35">
      <c r="A1684" s="2" t="s">
        <v>2280</v>
      </c>
      <c r="B1684" s="6" t="e">
        <v>#N/A</v>
      </c>
      <c r="C1684" s="2" t="e">
        <v>#N/A</v>
      </c>
      <c r="D1684" s="4">
        <v>7.41378</v>
      </c>
      <c r="E1684" s="4">
        <v>4.0394600000000001</v>
      </c>
      <c r="F1684" s="4">
        <v>4.2360000000000002E-2</v>
      </c>
    </row>
    <row r="1685" spans="1:6" x14ac:dyDescent="0.35">
      <c r="A1685" s="2" t="s">
        <v>2281</v>
      </c>
      <c r="B1685" s="6" t="e">
        <v>#N/A</v>
      </c>
      <c r="C1685" s="2" t="e">
        <v>#N/A</v>
      </c>
      <c r="D1685" s="4">
        <v>7.63185</v>
      </c>
      <c r="E1685" s="4">
        <v>3.9284599999999998</v>
      </c>
      <c r="F1685" s="4">
        <v>4.1099999999999998E-2</v>
      </c>
    </row>
    <row r="1686" spans="1:6" x14ac:dyDescent="0.35">
      <c r="A1686" s="2" t="s">
        <v>2282</v>
      </c>
      <c r="B1686" s="6" t="e">
        <v>#N/A</v>
      </c>
      <c r="C1686" s="2" t="e">
        <v>#N/A</v>
      </c>
      <c r="D1686" s="4">
        <v>7.41378</v>
      </c>
      <c r="E1686" s="4">
        <v>4.0394600000000001</v>
      </c>
      <c r="F1686" s="4">
        <v>4.2360000000000002E-2</v>
      </c>
    </row>
    <row r="1687" spans="1:6" x14ac:dyDescent="0.35">
      <c r="A1687" s="2" t="s">
        <v>2283</v>
      </c>
      <c r="B1687" s="6" t="e">
        <v>#N/A</v>
      </c>
      <c r="C1687" s="2" t="e">
        <v>#N/A</v>
      </c>
      <c r="D1687" s="4">
        <v>5.5025199999999996</v>
      </c>
      <c r="E1687" s="4">
        <v>3.3805200000000002</v>
      </c>
      <c r="F1687" s="4">
        <v>2.2769999999999999E-2</v>
      </c>
    </row>
    <row r="1688" spans="1:6" x14ac:dyDescent="0.35">
      <c r="A1688" s="2" t="s">
        <v>2284</v>
      </c>
      <c r="B1688" s="6" t="e">
        <v>#N/A</v>
      </c>
      <c r="C1688" s="2" t="e">
        <v>#N/A</v>
      </c>
      <c r="D1688" s="4">
        <v>7.3385699999999998</v>
      </c>
      <c r="E1688" s="4">
        <v>3.9249399999999999</v>
      </c>
      <c r="F1688" s="4">
        <v>4.1099999999999998E-2</v>
      </c>
    </row>
    <row r="1689" spans="1:6" x14ac:dyDescent="0.35">
      <c r="A1689" s="2" t="s">
        <v>2285</v>
      </c>
      <c r="B1689" s="6" t="e">
        <v>#N/A</v>
      </c>
      <c r="C1689" s="2" t="e">
        <v>#N/A</v>
      </c>
      <c r="D1689" s="4">
        <v>7.3385699999999998</v>
      </c>
      <c r="E1689" s="4">
        <v>3.9249399999999999</v>
      </c>
      <c r="F1689" s="4">
        <v>4.1099999999999998E-2</v>
      </c>
    </row>
    <row r="1690" spans="1:6" x14ac:dyDescent="0.35">
      <c r="A1690" s="2" t="s">
        <v>2286</v>
      </c>
      <c r="B1690" s="6" t="e">
        <v>#N/A</v>
      </c>
      <c r="C1690" s="2" t="e">
        <v>#N/A</v>
      </c>
      <c r="D1690" s="4">
        <v>7.3385699999999998</v>
      </c>
      <c r="E1690" s="4">
        <v>3.9249399999999999</v>
      </c>
      <c r="F1690" s="4">
        <v>4.1099999999999998E-2</v>
      </c>
    </row>
    <row r="1691" spans="1:6" x14ac:dyDescent="0.35">
      <c r="A1691" s="2" t="s">
        <v>2287</v>
      </c>
      <c r="B1691" s="6" t="e">
        <v>#N/A</v>
      </c>
      <c r="C1691" s="2" t="e">
        <v>#N/A</v>
      </c>
      <c r="D1691" s="4">
        <v>7.4722999999999997</v>
      </c>
      <c r="E1691" s="4">
        <v>3.8076599999999998</v>
      </c>
      <c r="F1691" s="4">
        <v>5.6590000000000001E-2</v>
      </c>
    </row>
    <row r="1692" spans="1:6" x14ac:dyDescent="0.35">
      <c r="A1692" s="2" t="s">
        <v>2288</v>
      </c>
      <c r="B1692" s="6" t="e">
        <v>#N/A</v>
      </c>
      <c r="C1692" s="2" t="e">
        <v>#N/A</v>
      </c>
      <c r="D1692" s="4">
        <v>6.3555799999999998</v>
      </c>
      <c r="E1692" s="4">
        <v>2.7662399999999998</v>
      </c>
      <c r="F1692" s="4">
        <v>2.6550000000000001E-2</v>
      </c>
    </row>
    <row r="1693" spans="1:6" x14ac:dyDescent="0.35">
      <c r="A1693" s="2" t="s">
        <v>2289</v>
      </c>
      <c r="B1693" s="6" t="e">
        <v>#N/A</v>
      </c>
      <c r="C1693" s="2" t="e">
        <v>#N/A</v>
      </c>
      <c r="D1693" s="4">
        <v>6.7666599999999999</v>
      </c>
      <c r="E1693" s="4">
        <v>2.7662399999999998</v>
      </c>
      <c r="F1693" s="4">
        <v>2.6550000000000001E-2</v>
      </c>
    </row>
    <row r="1694" spans="1:6" x14ac:dyDescent="0.35">
      <c r="A1694" s="2" t="s">
        <v>2290</v>
      </c>
      <c r="B1694" s="6" t="e">
        <v>#N/A</v>
      </c>
      <c r="C1694" s="2" t="e">
        <v>#N/A</v>
      </c>
      <c r="D1694" s="4">
        <v>6.3555799999999998</v>
      </c>
      <c r="E1694" s="4">
        <v>2.7662399999999998</v>
      </c>
      <c r="F1694" s="4">
        <v>2.6550000000000001E-2</v>
      </c>
    </row>
    <row r="1695" spans="1:6" x14ac:dyDescent="0.35">
      <c r="A1695" s="2" t="s">
        <v>2291</v>
      </c>
      <c r="B1695" s="6" t="e">
        <v>#N/A</v>
      </c>
      <c r="C1695" s="2" t="e">
        <v>#N/A</v>
      </c>
      <c r="D1695" s="4">
        <v>6.3469899999999999</v>
      </c>
      <c r="E1695" s="4">
        <v>2.7576499999999999</v>
      </c>
      <c r="F1695" s="4">
        <v>2.6550000000000001E-2</v>
      </c>
    </row>
    <row r="1696" spans="1:6" x14ac:dyDescent="0.35">
      <c r="A1696" s="2" t="s">
        <v>2292</v>
      </c>
      <c r="B1696" s="6" t="e">
        <v>#N/A</v>
      </c>
      <c r="C1696" s="2" t="e">
        <v>#N/A</v>
      </c>
      <c r="D1696" s="4">
        <v>6.3555799999999998</v>
      </c>
      <c r="E1696" s="4">
        <v>2.7662399999999998</v>
      </c>
      <c r="F1696" s="4">
        <v>2.6550000000000001E-2</v>
      </c>
    </row>
    <row r="1697" spans="1:6" x14ac:dyDescent="0.35">
      <c r="A1697" s="2" t="s">
        <v>2293</v>
      </c>
      <c r="B1697" s="6" t="e">
        <v>#N/A</v>
      </c>
      <c r="C1697" s="2" t="e">
        <v>#N/A</v>
      </c>
      <c r="D1697" s="4">
        <v>6.4802</v>
      </c>
      <c r="E1697" s="4">
        <v>2.7695400000000001</v>
      </c>
      <c r="F1697" s="4">
        <v>2.6550000000000001E-2</v>
      </c>
    </row>
    <row r="1698" spans="1:6" x14ac:dyDescent="0.35">
      <c r="A1698" s="2" t="s">
        <v>2294</v>
      </c>
      <c r="B1698" s="6" t="e">
        <v>#N/A</v>
      </c>
      <c r="C1698" s="2" t="e">
        <v>#N/A</v>
      </c>
      <c r="D1698" s="4">
        <v>6.4802</v>
      </c>
      <c r="E1698" s="4">
        <v>2.7695400000000001</v>
      </c>
      <c r="F1698" s="4">
        <v>2.6550000000000001E-2</v>
      </c>
    </row>
    <row r="1699" spans="1:6" x14ac:dyDescent="0.35">
      <c r="A1699" s="2" t="s">
        <v>2295</v>
      </c>
      <c r="B1699" s="6" t="e">
        <v>#N/A</v>
      </c>
      <c r="C1699" s="2" t="e">
        <v>#N/A</v>
      </c>
      <c r="D1699" s="4">
        <v>6.4802</v>
      </c>
      <c r="E1699" s="4">
        <v>2.7695400000000001</v>
      </c>
      <c r="F1699" s="4">
        <v>2.6550000000000001E-2</v>
      </c>
    </row>
    <row r="1700" spans="1:6" x14ac:dyDescent="0.35">
      <c r="A1700" s="2" t="s">
        <v>2296</v>
      </c>
      <c r="B1700" s="6" t="e">
        <v>#N/A</v>
      </c>
      <c r="C1700" s="2" t="e">
        <v>#N/A</v>
      </c>
      <c r="D1700" s="4">
        <v>6.8495799999999996</v>
      </c>
      <c r="E1700" s="4">
        <v>3.1251099999999998</v>
      </c>
      <c r="F1700" s="4">
        <v>4.036E-2</v>
      </c>
    </row>
    <row r="1701" spans="1:6" x14ac:dyDescent="0.35">
      <c r="A1701" s="2" t="s">
        <v>2297</v>
      </c>
      <c r="B1701" s="6" t="e">
        <v>#N/A</v>
      </c>
      <c r="C1701" s="2" t="e">
        <v>#N/A</v>
      </c>
      <c r="D1701" s="4">
        <v>7.9010499999999997</v>
      </c>
      <c r="E1701" s="4">
        <v>4.2623300000000004</v>
      </c>
      <c r="F1701" s="4">
        <v>6.4049999999999996E-2</v>
      </c>
    </row>
    <row r="1702" spans="1:6" x14ac:dyDescent="0.35">
      <c r="A1702" s="2" t="s">
        <v>2298</v>
      </c>
      <c r="B1702" s="6" t="e">
        <v>#N/A</v>
      </c>
      <c r="C1702" s="2" t="e">
        <v>#N/A</v>
      </c>
      <c r="D1702" s="4">
        <v>7.8113999999999999</v>
      </c>
      <c r="E1702" s="4">
        <v>4.1411899999999999</v>
      </c>
      <c r="F1702" s="4">
        <v>6.216E-2</v>
      </c>
    </row>
    <row r="1703" spans="1:6" x14ac:dyDescent="0.35">
      <c r="A1703" s="2" t="s">
        <v>2299</v>
      </c>
      <c r="B1703" s="6" t="e">
        <v>#N/A</v>
      </c>
      <c r="C1703" s="2" t="e">
        <v>#N/A</v>
      </c>
      <c r="D1703" s="4">
        <v>6.1504500000000002</v>
      </c>
      <c r="E1703" s="4">
        <v>2.5582600000000002</v>
      </c>
      <c r="F1703" s="4">
        <v>2.9399999999999999E-2</v>
      </c>
    </row>
    <row r="1704" spans="1:6" x14ac:dyDescent="0.35">
      <c r="A1704" s="2" t="s">
        <v>2300</v>
      </c>
      <c r="B1704" s="6" t="e">
        <v>#N/A</v>
      </c>
      <c r="C1704" s="2" t="e">
        <v>#N/A</v>
      </c>
      <c r="D1704" s="4">
        <v>6.1504500000000002</v>
      </c>
      <c r="E1704" s="4">
        <v>2.5582600000000002</v>
      </c>
      <c r="F1704" s="4">
        <v>2.9399999999999999E-2</v>
      </c>
    </row>
    <row r="1705" spans="1:6" x14ac:dyDescent="0.35">
      <c r="A1705" s="2" t="s">
        <v>2301</v>
      </c>
      <c r="B1705" s="6" t="e">
        <v>#N/A</v>
      </c>
      <c r="C1705" s="2" t="e">
        <v>#N/A</v>
      </c>
      <c r="D1705" s="4">
        <v>6.1418600000000003</v>
      </c>
      <c r="E1705" s="4">
        <v>2.5496699999999999</v>
      </c>
      <c r="F1705" s="4">
        <v>2.9399999999999999E-2</v>
      </c>
    </row>
    <row r="1706" spans="1:6" x14ac:dyDescent="0.35">
      <c r="A1706" s="2" t="s">
        <v>2302</v>
      </c>
      <c r="B1706" s="6" t="e">
        <v>#N/A</v>
      </c>
      <c r="C1706" s="2" t="e">
        <v>#N/A</v>
      </c>
      <c r="D1706" s="4">
        <v>6.2750700000000004</v>
      </c>
      <c r="E1706" s="4">
        <v>2.5615600000000001</v>
      </c>
      <c r="F1706" s="4">
        <v>2.9399999999999999E-2</v>
      </c>
    </row>
    <row r="1707" spans="1:6" x14ac:dyDescent="0.35">
      <c r="A1707" s="2" t="s">
        <v>2303</v>
      </c>
      <c r="B1707" s="6" t="e">
        <v>#N/A</v>
      </c>
      <c r="C1707" s="2" t="e">
        <v>#N/A</v>
      </c>
      <c r="D1707" s="4">
        <v>6.6817200000000003</v>
      </c>
      <c r="E1707" s="4">
        <v>3.0698799999999999</v>
      </c>
      <c r="F1707" s="4">
        <v>3.7170000000000002E-2</v>
      </c>
    </row>
    <row r="1708" spans="1:6" x14ac:dyDescent="0.35">
      <c r="A1708" s="2" t="s">
        <v>2304</v>
      </c>
      <c r="B1708" s="6" t="e">
        <v>#N/A</v>
      </c>
      <c r="C1708" s="2" t="e">
        <v>#N/A</v>
      </c>
      <c r="D1708" s="4">
        <v>6.6817200000000003</v>
      </c>
      <c r="E1708" s="4">
        <v>3.0698799999999999</v>
      </c>
      <c r="F1708" s="4">
        <v>3.7170000000000002E-2</v>
      </c>
    </row>
    <row r="1709" spans="1:6" x14ac:dyDescent="0.35">
      <c r="A1709" s="2" t="s">
        <v>2305</v>
      </c>
      <c r="B1709" s="6" t="e">
        <v>#N/A</v>
      </c>
      <c r="C1709" s="2" t="e">
        <v>#N/A</v>
      </c>
      <c r="D1709" s="4">
        <v>6.6282399999999999</v>
      </c>
      <c r="E1709" s="4">
        <v>2.9841199999999999</v>
      </c>
      <c r="F1709" s="4">
        <v>3.6069999999999998E-2</v>
      </c>
    </row>
    <row r="1710" spans="1:6" x14ac:dyDescent="0.35">
      <c r="A1710" s="2" t="s">
        <v>2306</v>
      </c>
      <c r="B1710" s="6" t="e">
        <v>#N/A</v>
      </c>
      <c r="C1710" s="2" t="e">
        <v>#N/A</v>
      </c>
      <c r="D1710" s="4">
        <v>6.6282399999999999</v>
      </c>
      <c r="E1710" s="4">
        <v>2.9841199999999999</v>
      </c>
      <c r="F1710" s="4">
        <v>3.6069999999999998E-2</v>
      </c>
    </row>
    <row r="1711" spans="1:6" x14ac:dyDescent="0.35">
      <c r="A1711" s="2" t="s">
        <v>2307</v>
      </c>
      <c r="B1711" s="6" t="e">
        <v>#N/A</v>
      </c>
      <c r="C1711" s="2" t="e">
        <v>#N/A</v>
      </c>
      <c r="D1711" s="4">
        <v>6.6282399999999999</v>
      </c>
      <c r="E1711" s="4">
        <v>2.9841199999999999</v>
      </c>
      <c r="F1711" s="4">
        <v>3.6069999999999998E-2</v>
      </c>
    </row>
    <row r="1712" spans="1:6" x14ac:dyDescent="0.35">
      <c r="A1712" s="2" t="s">
        <v>2308</v>
      </c>
      <c r="B1712" s="6" t="e">
        <v>#N/A</v>
      </c>
      <c r="C1712" s="2" t="e">
        <v>#N/A</v>
      </c>
      <c r="D1712" s="4">
        <v>5.8613099999999996</v>
      </c>
      <c r="E1712" s="4">
        <v>2.2697699999999998</v>
      </c>
      <c r="F1712" s="4">
        <v>2.8750000000000001E-2</v>
      </c>
    </row>
    <row r="1713" spans="1:6" x14ac:dyDescent="0.35">
      <c r="A1713" s="2" t="s">
        <v>2309</v>
      </c>
      <c r="B1713" s="6" t="e">
        <v>#N/A</v>
      </c>
      <c r="C1713" s="2" t="e">
        <v>#N/A</v>
      </c>
      <c r="D1713" s="4">
        <v>6.2723899999999997</v>
      </c>
      <c r="E1713" s="4">
        <v>2.2697699999999998</v>
      </c>
      <c r="F1713" s="4">
        <v>2.8750000000000001E-2</v>
      </c>
    </row>
    <row r="1714" spans="1:6" x14ac:dyDescent="0.35">
      <c r="A1714" s="2" t="s">
        <v>2310</v>
      </c>
      <c r="B1714" s="6" t="e">
        <v>#N/A</v>
      </c>
      <c r="C1714" s="2" t="e">
        <v>#N/A</v>
      </c>
      <c r="D1714" s="4">
        <v>5.8613099999999996</v>
      </c>
      <c r="E1714" s="4">
        <v>2.2697699999999998</v>
      </c>
      <c r="F1714" s="4">
        <v>2.8750000000000001E-2</v>
      </c>
    </row>
    <row r="1715" spans="1:6" x14ac:dyDescent="0.35">
      <c r="A1715" s="2" t="s">
        <v>2311</v>
      </c>
      <c r="B1715" s="6" t="e">
        <v>#N/A</v>
      </c>
      <c r="C1715" s="2" t="e">
        <v>#N/A</v>
      </c>
      <c r="D1715" s="4">
        <v>5.9859299999999998</v>
      </c>
      <c r="E1715" s="4">
        <v>2.2730700000000001</v>
      </c>
      <c r="F1715" s="4">
        <v>2.8750000000000001E-2</v>
      </c>
    </row>
    <row r="1716" spans="1:6" x14ac:dyDescent="0.35">
      <c r="A1716" s="2" t="s">
        <v>2312</v>
      </c>
      <c r="B1716" s="6" t="e">
        <v>#N/A</v>
      </c>
      <c r="C1716" s="2" t="e">
        <v>#N/A</v>
      </c>
      <c r="D1716" s="4">
        <v>5.9859299999999998</v>
      </c>
      <c r="E1716" s="4">
        <v>2.2730700000000001</v>
      </c>
      <c r="F1716" s="4">
        <v>2.8750000000000001E-2</v>
      </c>
    </row>
    <row r="1717" spans="1:6" x14ac:dyDescent="0.35">
      <c r="A1717" s="2" t="s">
        <v>2313</v>
      </c>
      <c r="B1717" s="6" t="e">
        <v>#N/A</v>
      </c>
      <c r="C1717" s="2" t="e">
        <v>#N/A</v>
      </c>
      <c r="D1717" s="4">
        <v>7.9263399999999997</v>
      </c>
      <c r="E1717" s="4">
        <v>4.2934299999999999</v>
      </c>
      <c r="F1717" s="4">
        <v>5.824E-2</v>
      </c>
    </row>
    <row r="1718" spans="1:6" x14ac:dyDescent="0.35">
      <c r="A1718" s="2" t="s">
        <v>2314</v>
      </c>
      <c r="B1718" s="6" t="e">
        <v>#N/A</v>
      </c>
      <c r="C1718" s="2" t="e">
        <v>#N/A</v>
      </c>
      <c r="D1718" s="4">
        <v>7.9263399999999997</v>
      </c>
      <c r="E1718" s="4">
        <v>4.2934299999999999</v>
      </c>
      <c r="F1718" s="4">
        <v>5.824E-2</v>
      </c>
    </row>
    <row r="1719" spans="1:6" x14ac:dyDescent="0.35">
      <c r="A1719" s="2" t="s">
        <v>2315</v>
      </c>
      <c r="B1719" s="6" t="e">
        <v>#N/A</v>
      </c>
      <c r="C1719" s="2" t="e">
        <v>#N/A</v>
      </c>
      <c r="D1719" s="4">
        <v>7.8359300000000003</v>
      </c>
      <c r="E1719" s="4">
        <v>4.1713699999999996</v>
      </c>
      <c r="F1719" s="4">
        <v>5.6509999999999998E-2</v>
      </c>
    </row>
    <row r="1720" spans="1:6" x14ac:dyDescent="0.35">
      <c r="A1720" s="2" t="s">
        <v>2316</v>
      </c>
      <c r="B1720" s="6" t="e">
        <v>#N/A</v>
      </c>
      <c r="C1720" s="2" t="e">
        <v>#N/A</v>
      </c>
      <c r="D1720" s="4">
        <v>9.6226199999999995</v>
      </c>
      <c r="E1720" s="4">
        <v>6.2573499999999997</v>
      </c>
      <c r="F1720" s="4">
        <v>8.906E-2</v>
      </c>
    </row>
    <row r="1721" spans="1:6" x14ac:dyDescent="0.35">
      <c r="A1721" s="2" t="s">
        <v>2317</v>
      </c>
      <c r="B1721" s="6" t="e">
        <v>#N/A</v>
      </c>
      <c r="C1721" s="2" t="e">
        <v>#N/A</v>
      </c>
      <c r="D1721" s="4">
        <v>10.05939</v>
      </c>
      <c r="E1721" s="4">
        <v>6.2830399999999997</v>
      </c>
      <c r="F1721" s="4">
        <v>8.906E-2</v>
      </c>
    </row>
    <row r="1722" spans="1:6" x14ac:dyDescent="0.35">
      <c r="A1722" s="2" t="s">
        <v>2318</v>
      </c>
      <c r="B1722" s="6" t="e">
        <v>#N/A</v>
      </c>
      <c r="C1722" s="2" t="e">
        <v>#N/A</v>
      </c>
      <c r="D1722" s="4">
        <v>9.6226199999999995</v>
      </c>
      <c r="E1722" s="4">
        <v>6.2573499999999997</v>
      </c>
      <c r="F1722" s="4">
        <v>8.906E-2</v>
      </c>
    </row>
    <row r="1723" spans="1:6" x14ac:dyDescent="0.35">
      <c r="A1723" s="2" t="s">
        <v>2319</v>
      </c>
      <c r="B1723" s="6" t="e">
        <v>#N/A</v>
      </c>
      <c r="C1723" s="2" t="e">
        <v>#N/A</v>
      </c>
      <c r="D1723" s="4">
        <v>9.6226199999999995</v>
      </c>
      <c r="E1723" s="4">
        <v>6.2573499999999997</v>
      </c>
      <c r="F1723" s="4">
        <v>8.906E-2</v>
      </c>
    </row>
    <row r="1724" spans="1:6" x14ac:dyDescent="0.35">
      <c r="A1724" s="2" t="s">
        <v>2320</v>
      </c>
      <c r="B1724" s="6" t="e">
        <v>#N/A</v>
      </c>
      <c r="C1724" s="2" t="e">
        <v>#N/A</v>
      </c>
      <c r="D1724" s="4">
        <v>10.05939</v>
      </c>
      <c r="E1724" s="4">
        <v>6.2830399999999997</v>
      </c>
      <c r="F1724" s="4">
        <v>8.906E-2</v>
      </c>
    </row>
    <row r="1725" spans="1:6" x14ac:dyDescent="0.35">
      <c r="A1725" s="2" t="s">
        <v>2321</v>
      </c>
      <c r="B1725" s="6" t="e">
        <v>#N/A</v>
      </c>
      <c r="C1725" s="2" t="e">
        <v>#N/A</v>
      </c>
      <c r="D1725" s="4">
        <v>9.7573399999999992</v>
      </c>
      <c r="E1725" s="4">
        <v>6.2707499999999996</v>
      </c>
      <c r="F1725" s="4">
        <v>8.906E-2</v>
      </c>
    </row>
    <row r="1726" spans="1:6" x14ac:dyDescent="0.35">
      <c r="A1726" s="2" t="s">
        <v>2322</v>
      </c>
      <c r="B1726" s="6" t="e">
        <v>#N/A</v>
      </c>
      <c r="C1726" s="2" t="e">
        <v>#N/A</v>
      </c>
      <c r="D1726" s="4">
        <v>9.7573399999999992</v>
      </c>
      <c r="E1726" s="4">
        <v>6.2707499999999996</v>
      </c>
      <c r="F1726" s="4">
        <v>8.906E-2</v>
      </c>
    </row>
    <row r="1727" spans="1:6" x14ac:dyDescent="0.35">
      <c r="A1727" s="2" t="s">
        <v>2323</v>
      </c>
      <c r="B1727" s="6" t="e">
        <v>#N/A</v>
      </c>
      <c r="C1727" s="2" t="e">
        <v>#N/A</v>
      </c>
      <c r="D1727" s="4">
        <v>9.7573399999999992</v>
      </c>
      <c r="E1727" s="4">
        <v>6.2707499999999996</v>
      </c>
      <c r="F1727" s="4">
        <v>8.906E-2</v>
      </c>
    </row>
    <row r="1728" spans="1:6" x14ac:dyDescent="0.35">
      <c r="A1728" s="2" t="s">
        <v>2324</v>
      </c>
      <c r="B1728" s="6" t="e">
        <v>#N/A</v>
      </c>
      <c r="C1728" s="2" t="e">
        <v>#N/A</v>
      </c>
      <c r="D1728" s="4">
        <v>9.7573399999999992</v>
      </c>
      <c r="E1728" s="4">
        <v>6.2707499999999996</v>
      </c>
      <c r="F1728" s="4">
        <v>8.906E-2</v>
      </c>
    </row>
    <row r="1729" spans="1:6" x14ac:dyDescent="0.35">
      <c r="A1729" s="2" t="s">
        <v>2325</v>
      </c>
      <c r="B1729" s="6" t="e">
        <v>#N/A</v>
      </c>
      <c r="C1729" s="2" t="e">
        <v>#N/A</v>
      </c>
      <c r="D1729" s="4">
        <v>9.7573399999999992</v>
      </c>
      <c r="E1729" s="4">
        <v>6.2707499999999996</v>
      </c>
      <c r="F1729" s="4">
        <v>8.906E-2</v>
      </c>
    </row>
    <row r="1730" spans="1:6" x14ac:dyDescent="0.35">
      <c r="A1730" s="2" t="s">
        <v>2326</v>
      </c>
      <c r="B1730" s="6" t="e">
        <v>#N/A</v>
      </c>
      <c r="C1730" s="2" t="e">
        <v>#N/A</v>
      </c>
      <c r="D1730" s="4">
        <v>6.7249600000000003</v>
      </c>
      <c r="E1730" s="4">
        <v>3.12181</v>
      </c>
      <c r="F1730" s="4">
        <v>4.036E-2</v>
      </c>
    </row>
    <row r="1731" spans="1:6" x14ac:dyDescent="0.35">
      <c r="A1731" s="2" t="s">
        <v>2327</v>
      </c>
      <c r="B1731" s="6" t="e">
        <v>#N/A</v>
      </c>
      <c r="C1731" s="2" t="e">
        <v>#N/A</v>
      </c>
      <c r="D1731" s="4">
        <v>7.0745800000000001</v>
      </c>
      <c r="E1731" s="4">
        <v>3.0603500000000001</v>
      </c>
      <c r="F1731" s="4">
        <v>4.036E-2</v>
      </c>
    </row>
    <row r="1732" spans="1:6" x14ac:dyDescent="0.35">
      <c r="A1732" s="2" t="s">
        <v>2328</v>
      </c>
      <c r="B1732" s="6" t="e">
        <v>#N/A</v>
      </c>
      <c r="C1732" s="2" t="e">
        <v>#N/A</v>
      </c>
      <c r="D1732" s="4">
        <v>14.069990000000001</v>
      </c>
      <c r="E1732" s="4">
        <v>10.70595</v>
      </c>
      <c r="F1732" s="4">
        <v>8.7830000000000005E-2</v>
      </c>
    </row>
    <row r="1733" spans="1:6" x14ac:dyDescent="0.35">
      <c r="A1733" s="2" t="s">
        <v>2329</v>
      </c>
      <c r="B1733" s="6" t="e">
        <v>#N/A</v>
      </c>
      <c r="C1733" s="2" t="e">
        <v>#N/A</v>
      </c>
      <c r="D1733" s="4">
        <v>14.20471</v>
      </c>
      <c r="E1733" s="4">
        <v>10.71935</v>
      </c>
      <c r="F1733" s="4">
        <v>8.7830000000000005E-2</v>
      </c>
    </row>
    <row r="1734" spans="1:6" x14ac:dyDescent="0.35">
      <c r="A1734" s="2" t="s">
        <v>2330</v>
      </c>
      <c r="B1734" s="6" t="e">
        <v>#N/A</v>
      </c>
      <c r="C1734" s="2" t="e">
        <v>#N/A</v>
      </c>
      <c r="D1734" s="4">
        <v>6.6084199999999997</v>
      </c>
      <c r="E1734" s="4">
        <v>3.24769</v>
      </c>
      <c r="F1734" s="4">
        <v>3.3459999999999997E-2</v>
      </c>
    </row>
    <row r="1735" spans="1:6" x14ac:dyDescent="0.35">
      <c r="A1735" s="2" t="s">
        <v>2331</v>
      </c>
      <c r="B1735" s="6" t="e">
        <v>#N/A</v>
      </c>
      <c r="C1735" s="2" t="e">
        <v>#N/A</v>
      </c>
      <c r="D1735" s="4">
        <v>6.7330399999999999</v>
      </c>
      <c r="E1735" s="4">
        <v>3.2509899999999998</v>
      </c>
      <c r="F1735" s="4">
        <v>3.3459999999999997E-2</v>
      </c>
    </row>
    <row r="1736" spans="1:6" x14ac:dyDescent="0.35">
      <c r="A1736" s="2" t="s">
        <v>2332</v>
      </c>
      <c r="B1736" s="6" t="e">
        <v>#N/A</v>
      </c>
      <c r="C1736" s="2" t="e">
        <v>#N/A</v>
      </c>
      <c r="D1736" s="4">
        <v>6.7330399999999999</v>
      </c>
      <c r="E1736" s="4">
        <v>3.2509899999999998</v>
      </c>
      <c r="F1736" s="4">
        <v>3.3459999999999997E-2</v>
      </c>
    </row>
    <row r="1737" spans="1:6" x14ac:dyDescent="0.35">
      <c r="A1737" s="2" t="s">
        <v>2333</v>
      </c>
      <c r="B1737" s="6" t="e">
        <v>#N/A</v>
      </c>
      <c r="C1737" s="2" t="e">
        <v>#N/A</v>
      </c>
      <c r="D1737" s="4">
        <v>6.9560500000000003</v>
      </c>
      <c r="E1737" s="4">
        <v>3.5895000000000001</v>
      </c>
      <c r="F1737" s="4">
        <v>3.9280000000000002E-2</v>
      </c>
    </row>
    <row r="1738" spans="1:6" x14ac:dyDescent="0.35">
      <c r="A1738" s="2" t="s">
        <v>2334</v>
      </c>
      <c r="B1738" s="6" t="e">
        <v>#N/A</v>
      </c>
      <c r="C1738" s="2" t="e">
        <v>#N/A</v>
      </c>
      <c r="D1738" s="4">
        <v>6.9560500000000003</v>
      </c>
      <c r="E1738" s="4">
        <v>3.5895000000000001</v>
      </c>
      <c r="F1738" s="4">
        <v>3.9280000000000002E-2</v>
      </c>
    </row>
    <row r="1739" spans="1:6" x14ac:dyDescent="0.35">
      <c r="A1739" s="2" t="s">
        <v>2335</v>
      </c>
      <c r="B1739" s="6" t="e">
        <v>#N/A</v>
      </c>
      <c r="C1739" s="2" t="e">
        <v>#N/A</v>
      </c>
      <c r="D1739" s="4">
        <v>6.9560500000000003</v>
      </c>
      <c r="E1739" s="4">
        <v>3.5895000000000001</v>
      </c>
      <c r="F1739" s="4">
        <v>3.9280000000000002E-2</v>
      </c>
    </row>
    <row r="1740" spans="1:6" x14ac:dyDescent="0.35">
      <c r="A1740" s="2" t="s">
        <v>2336</v>
      </c>
      <c r="B1740" s="6" t="e">
        <v>#N/A</v>
      </c>
      <c r="C1740" s="2" t="e">
        <v>#N/A</v>
      </c>
      <c r="D1740" s="4">
        <v>7.7392599999999998</v>
      </c>
      <c r="E1740" s="4">
        <v>4.3727099999999997</v>
      </c>
      <c r="F1740" s="4">
        <v>3.9280000000000002E-2</v>
      </c>
    </row>
    <row r="1741" spans="1:6" x14ac:dyDescent="0.35">
      <c r="A1741" s="2" t="s">
        <v>2337</v>
      </c>
      <c r="B1741" s="6" t="e">
        <v>#N/A</v>
      </c>
      <c r="C1741" s="2" t="e">
        <v>#N/A</v>
      </c>
      <c r="D1741" s="4">
        <v>8.1503399999999999</v>
      </c>
      <c r="E1741" s="4">
        <v>4.3727099999999997</v>
      </c>
      <c r="F1741" s="4">
        <v>3.9280000000000002E-2</v>
      </c>
    </row>
    <row r="1742" spans="1:6" x14ac:dyDescent="0.35">
      <c r="A1742" s="2" t="s">
        <v>2338</v>
      </c>
      <c r="B1742" s="6" t="e">
        <v>#N/A</v>
      </c>
      <c r="C1742" s="2" t="e">
        <v>#N/A</v>
      </c>
      <c r="D1742" s="4">
        <v>7.7392599999999998</v>
      </c>
      <c r="E1742" s="4">
        <v>4.3727099999999997</v>
      </c>
      <c r="F1742" s="4">
        <v>3.9280000000000002E-2</v>
      </c>
    </row>
    <row r="1743" spans="1:6" x14ac:dyDescent="0.35">
      <c r="A1743" s="2" t="s">
        <v>2339</v>
      </c>
      <c r="B1743" s="6" t="e">
        <v>#N/A</v>
      </c>
      <c r="C1743" s="2" t="e">
        <v>#N/A</v>
      </c>
      <c r="D1743" s="4">
        <v>7.86388</v>
      </c>
      <c r="E1743" s="4">
        <v>4.37601</v>
      </c>
      <c r="F1743" s="4">
        <v>3.9280000000000002E-2</v>
      </c>
    </row>
    <row r="1744" spans="1:6" x14ac:dyDescent="0.35">
      <c r="A1744" s="2" t="s">
        <v>2340</v>
      </c>
      <c r="B1744" s="6" t="e">
        <v>#N/A</v>
      </c>
      <c r="C1744" s="2" t="e">
        <v>#N/A</v>
      </c>
      <c r="D1744" s="4">
        <v>7.0806699999999996</v>
      </c>
      <c r="E1744" s="4">
        <v>3.5928</v>
      </c>
      <c r="F1744" s="4">
        <v>3.9280000000000002E-2</v>
      </c>
    </row>
    <row r="1745" spans="1:6" x14ac:dyDescent="0.35">
      <c r="A1745" s="2" t="s">
        <v>2341</v>
      </c>
      <c r="B1745" s="6" t="e">
        <v>#N/A</v>
      </c>
      <c r="C1745" s="2" t="e">
        <v>#N/A</v>
      </c>
      <c r="D1745" s="4">
        <v>7.0806699999999996</v>
      </c>
      <c r="E1745" s="4">
        <v>3.5928</v>
      </c>
      <c r="F1745" s="4">
        <v>3.9280000000000002E-2</v>
      </c>
    </row>
    <row r="1746" spans="1:6" x14ac:dyDescent="0.35">
      <c r="A1746" s="2" t="s">
        <v>2342</v>
      </c>
      <c r="B1746" s="6" t="e">
        <v>#N/A</v>
      </c>
      <c r="C1746" s="2" t="e">
        <v>#N/A</v>
      </c>
      <c r="D1746" s="4">
        <v>7.0806699999999996</v>
      </c>
      <c r="E1746" s="4">
        <v>3.5928</v>
      </c>
      <c r="F1746" s="4">
        <v>3.9280000000000002E-2</v>
      </c>
    </row>
    <row r="1747" spans="1:6" x14ac:dyDescent="0.35">
      <c r="A1747" s="2" t="s">
        <v>2343</v>
      </c>
      <c r="B1747" s="6" t="e">
        <v>#N/A</v>
      </c>
      <c r="C1747" s="2" t="e">
        <v>#N/A</v>
      </c>
      <c r="D1747" s="4">
        <v>7.03132</v>
      </c>
      <c r="E1747" s="4">
        <v>3.6522399999999999</v>
      </c>
      <c r="F1747" s="4">
        <v>5.1810000000000002E-2</v>
      </c>
    </row>
    <row r="1748" spans="1:6" x14ac:dyDescent="0.35">
      <c r="A1748" s="2" t="s">
        <v>2344</v>
      </c>
      <c r="B1748" s="6" t="e">
        <v>#N/A</v>
      </c>
      <c r="C1748" s="2" t="e">
        <v>#N/A</v>
      </c>
      <c r="D1748" s="4">
        <v>7.1559400000000002</v>
      </c>
      <c r="E1748" s="4">
        <v>3.6555399999999998</v>
      </c>
      <c r="F1748" s="4">
        <v>5.1810000000000002E-2</v>
      </c>
    </row>
    <row r="1749" spans="1:6" x14ac:dyDescent="0.35">
      <c r="A1749" s="2" t="s">
        <v>2345</v>
      </c>
      <c r="B1749" s="6" t="e">
        <v>#N/A</v>
      </c>
      <c r="C1749" s="2" t="e">
        <v>#N/A</v>
      </c>
      <c r="D1749" s="4">
        <v>8.4377300000000002</v>
      </c>
      <c r="E1749" s="4">
        <v>4.8055500000000002</v>
      </c>
      <c r="F1749" s="4">
        <v>5.7509999999999999E-2</v>
      </c>
    </row>
    <row r="1750" spans="1:6" x14ac:dyDescent="0.35">
      <c r="A1750" s="2" t="s">
        <v>2346</v>
      </c>
      <c r="B1750" s="6" t="e">
        <v>#N/A</v>
      </c>
      <c r="C1750" s="2" t="e">
        <v>#N/A</v>
      </c>
      <c r="D1750" s="4">
        <v>8.4377300000000002</v>
      </c>
      <c r="E1750" s="4">
        <v>4.8055500000000002</v>
      </c>
      <c r="F1750" s="4">
        <v>5.7509999999999999E-2</v>
      </c>
    </row>
    <row r="1751" spans="1:6" x14ac:dyDescent="0.35">
      <c r="A1751" s="2" t="s">
        <v>2347</v>
      </c>
      <c r="B1751" s="6" t="e">
        <v>#N/A</v>
      </c>
      <c r="C1751" s="2" t="e">
        <v>#N/A</v>
      </c>
      <c r="D1751" s="4">
        <v>8.4377300000000002</v>
      </c>
      <c r="E1751" s="4">
        <v>4.8055500000000002</v>
      </c>
      <c r="F1751" s="4">
        <v>5.7509999999999999E-2</v>
      </c>
    </row>
    <row r="1752" spans="1:6" x14ac:dyDescent="0.35">
      <c r="A1752" s="2" t="s">
        <v>2348</v>
      </c>
      <c r="B1752" s="6" t="e">
        <v>#N/A</v>
      </c>
      <c r="C1752" s="2" t="e">
        <v>#N/A</v>
      </c>
      <c r="D1752" s="4">
        <v>8.6176999999999992</v>
      </c>
      <c r="E1752" s="4">
        <v>4.6640899999999998</v>
      </c>
      <c r="F1752" s="4">
        <v>5.5800000000000002E-2</v>
      </c>
    </row>
    <row r="1753" spans="1:6" x14ac:dyDescent="0.35">
      <c r="A1753" s="2" t="s">
        <v>2349</v>
      </c>
      <c r="B1753" s="6" t="e">
        <v>#N/A</v>
      </c>
      <c r="C1753" s="2" t="e">
        <v>#N/A</v>
      </c>
      <c r="D1753" s="4">
        <v>8.4377300000000002</v>
      </c>
      <c r="E1753" s="4">
        <v>4.8055500000000002</v>
      </c>
      <c r="F1753" s="4">
        <v>5.7509999999999999E-2</v>
      </c>
    </row>
    <row r="1754" spans="1:6" x14ac:dyDescent="0.35">
      <c r="A1754" s="2" t="s">
        <v>2350</v>
      </c>
      <c r="B1754" s="6" t="e">
        <v>#N/A</v>
      </c>
      <c r="C1754" s="2" t="e">
        <v>#N/A</v>
      </c>
      <c r="D1754" s="4">
        <v>8.3321299999999994</v>
      </c>
      <c r="E1754" s="4">
        <v>4.6682800000000002</v>
      </c>
      <c r="F1754" s="4">
        <v>5.5800000000000002E-2</v>
      </c>
    </row>
    <row r="1755" spans="1:6" x14ac:dyDescent="0.35">
      <c r="A1755" s="2" t="s">
        <v>2351</v>
      </c>
      <c r="B1755" s="6" t="e">
        <v>#N/A</v>
      </c>
      <c r="C1755" s="2" t="e">
        <v>#N/A</v>
      </c>
      <c r="D1755" s="4">
        <v>8.3321299999999994</v>
      </c>
      <c r="E1755" s="4">
        <v>4.6682800000000002</v>
      </c>
      <c r="F1755" s="4">
        <v>5.5800000000000002E-2</v>
      </c>
    </row>
    <row r="1756" spans="1:6" x14ac:dyDescent="0.35">
      <c r="A1756" s="2" t="s">
        <v>2352</v>
      </c>
      <c r="B1756" s="6" t="e">
        <v>#N/A</v>
      </c>
      <c r="C1756" s="2" t="e">
        <v>#N/A</v>
      </c>
      <c r="D1756" s="4">
        <v>8.3321299999999994</v>
      </c>
      <c r="E1756" s="4">
        <v>4.6682800000000002</v>
      </c>
      <c r="F1756" s="4">
        <v>5.5800000000000002E-2</v>
      </c>
    </row>
    <row r="1757" spans="1:6" x14ac:dyDescent="0.35">
      <c r="A1757" s="2" t="s">
        <v>2353</v>
      </c>
      <c r="B1757" s="6" t="e">
        <v>#N/A</v>
      </c>
      <c r="C1757" s="2" t="e">
        <v>#N/A</v>
      </c>
      <c r="D1757" s="4">
        <v>7.7281399999999998</v>
      </c>
      <c r="E1757" s="4">
        <v>4.3319900000000002</v>
      </c>
      <c r="F1757" s="4">
        <v>6.4189999999999997E-2</v>
      </c>
    </row>
    <row r="1758" spans="1:6" x14ac:dyDescent="0.35">
      <c r="A1758" s="2" t="s">
        <v>2354</v>
      </c>
      <c r="B1758" s="6" t="e">
        <v>#N/A</v>
      </c>
      <c r="C1758" s="2" t="e">
        <v>#N/A</v>
      </c>
      <c r="D1758" s="4">
        <v>7.9368800000000004</v>
      </c>
      <c r="E1758" s="4">
        <v>4.2122999999999999</v>
      </c>
      <c r="F1758" s="4">
        <v>6.2289999999999998E-2</v>
      </c>
    </row>
    <row r="1759" spans="1:6" x14ac:dyDescent="0.35">
      <c r="A1759" s="2" t="s">
        <v>2355</v>
      </c>
      <c r="B1759" s="6" t="e">
        <v>#N/A</v>
      </c>
      <c r="C1759" s="2" t="e">
        <v>#N/A</v>
      </c>
      <c r="D1759" s="4">
        <v>7.7358500000000001</v>
      </c>
      <c r="E1759" s="4">
        <v>4.3396999999999997</v>
      </c>
      <c r="F1759" s="4">
        <v>6.4189999999999997E-2</v>
      </c>
    </row>
    <row r="1760" spans="1:6" x14ac:dyDescent="0.35">
      <c r="A1760" s="2" t="s">
        <v>2356</v>
      </c>
      <c r="B1760" s="6" t="e">
        <v>#N/A</v>
      </c>
      <c r="C1760" s="2" t="e">
        <v>#N/A</v>
      </c>
      <c r="D1760" s="4">
        <v>7.7281399999999998</v>
      </c>
      <c r="E1760" s="4">
        <v>4.3319900000000002</v>
      </c>
      <c r="F1760" s="4">
        <v>6.4189999999999997E-2</v>
      </c>
    </row>
    <row r="1761" spans="1:6" x14ac:dyDescent="0.35">
      <c r="A1761" s="2" t="s">
        <v>2357</v>
      </c>
      <c r="B1761" s="6" t="e">
        <v>#N/A</v>
      </c>
      <c r="C1761" s="2" t="e">
        <v>#N/A</v>
      </c>
      <c r="D1761" s="4">
        <v>7.6436000000000002</v>
      </c>
      <c r="E1761" s="4">
        <v>4.20878</v>
      </c>
      <c r="F1761" s="4">
        <v>6.2289999999999998E-2</v>
      </c>
    </row>
    <row r="1762" spans="1:6" x14ac:dyDescent="0.35">
      <c r="A1762" s="2" t="s">
        <v>2358</v>
      </c>
      <c r="B1762" s="6" t="e">
        <v>#N/A</v>
      </c>
      <c r="C1762" s="2" t="e">
        <v>#N/A</v>
      </c>
      <c r="D1762" s="4">
        <v>7.6436000000000002</v>
      </c>
      <c r="E1762" s="4">
        <v>4.20878</v>
      </c>
      <c r="F1762" s="4">
        <v>6.2289999999999998E-2</v>
      </c>
    </row>
    <row r="1763" spans="1:6" x14ac:dyDescent="0.35">
      <c r="A1763" s="2" t="s">
        <v>2359</v>
      </c>
      <c r="B1763" s="6" t="e">
        <v>#N/A</v>
      </c>
      <c r="C1763" s="2" t="e">
        <v>#N/A</v>
      </c>
      <c r="D1763" s="4">
        <v>7.6436000000000002</v>
      </c>
      <c r="E1763" s="4">
        <v>4.20878</v>
      </c>
      <c r="F1763" s="4">
        <v>6.2289999999999998E-2</v>
      </c>
    </row>
    <row r="1764" spans="1:6" x14ac:dyDescent="0.35">
      <c r="A1764" s="2" t="s">
        <v>2360</v>
      </c>
      <c r="B1764" s="6" t="e">
        <v>#N/A</v>
      </c>
      <c r="C1764" s="2" t="e">
        <v>#N/A</v>
      </c>
      <c r="D1764" s="4">
        <v>7.2102199999999996</v>
      </c>
      <c r="E1764" s="4">
        <v>3.5853799999999998</v>
      </c>
      <c r="F1764" s="4">
        <v>5.0169999999999999E-2</v>
      </c>
    </row>
    <row r="1765" spans="1:6" x14ac:dyDescent="0.35">
      <c r="A1765" s="2" t="s">
        <v>2361</v>
      </c>
      <c r="B1765" s="6" t="e">
        <v>#N/A</v>
      </c>
      <c r="C1765" s="2" t="e">
        <v>#N/A</v>
      </c>
      <c r="D1765" s="4">
        <v>7.4266300000000003</v>
      </c>
      <c r="E1765" s="4">
        <v>3.48014</v>
      </c>
      <c r="F1765" s="4">
        <v>4.8680000000000001E-2</v>
      </c>
    </row>
    <row r="1766" spans="1:6" x14ac:dyDescent="0.35">
      <c r="A1766" s="2" t="s">
        <v>2362</v>
      </c>
      <c r="B1766" s="6" t="e">
        <v>#N/A</v>
      </c>
      <c r="C1766" s="2" t="e">
        <v>#N/A</v>
      </c>
      <c r="D1766" s="4">
        <v>7.2102199999999996</v>
      </c>
      <c r="E1766" s="4">
        <v>3.5853799999999998</v>
      </c>
      <c r="F1766" s="4">
        <v>5.0169999999999999E-2</v>
      </c>
    </row>
    <row r="1767" spans="1:6" x14ac:dyDescent="0.35">
      <c r="A1767" s="2" t="s">
        <v>2363</v>
      </c>
      <c r="B1767" s="6" t="e">
        <v>#N/A</v>
      </c>
      <c r="C1767" s="2" t="e">
        <v>#N/A</v>
      </c>
      <c r="D1767" s="4">
        <v>7.1410600000000004</v>
      </c>
      <c r="E1767" s="4">
        <v>3.4843299999999999</v>
      </c>
      <c r="F1767" s="4">
        <v>4.8680000000000001E-2</v>
      </c>
    </row>
    <row r="1768" spans="1:6" x14ac:dyDescent="0.35">
      <c r="A1768" s="2" t="s">
        <v>2364</v>
      </c>
      <c r="B1768" s="6" t="e">
        <v>#N/A</v>
      </c>
      <c r="C1768" s="2" t="e">
        <v>#N/A</v>
      </c>
      <c r="D1768" s="4">
        <v>7.1410600000000004</v>
      </c>
      <c r="E1768" s="4">
        <v>3.4843299999999999</v>
      </c>
      <c r="F1768" s="4">
        <v>4.8680000000000001E-2</v>
      </c>
    </row>
    <row r="1769" spans="1:6" x14ac:dyDescent="0.35">
      <c r="A1769" s="2" t="s">
        <v>2365</v>
      </c>
      <c r="B1769" s="6" t="e">
        <v>#N/A</v>
      </c>
      <c r="C1769" s="2" t="e">
        <v>#N/A</v>
      </c>
      <c r="D1769" s="4">
        <v>7.1872299999999996</v>
      </c>
      <c r="E1769" s="4">
        <v>3.80857</v>
      </c>
      <c r="F1769" s="4">
        <v>4.6699999999999998E-2</v>
      </c>
    </row>
    <row r="1770" spans="1:6" x14ac:dyDescent="0.35">
      <c r="A1770" s="2" t="s">
        <v>2366</v>
      </c>
      <c r="B1770" s="6" t="e">
        <v>#N/A</v>
      </c>
      <c r="C1770" s="2" t="e">
        <v>#N/A</v>
      </c>
      <c r="D1770" s="4">
        <v>7.4120100000000004</v>
      </c>
      <c r="E1770" s="4">
        <v>3.7044100000000002</v>
      </c>
      <c r="F1770" s="4">
        <v>4.5310000000000003E-2</v>
      </c>
    </row>
    <row r="1771" spans="1:6" x14ac:dyDescent="0.35">
      <c r="A1771" s="2" t="s">
        <v>2367</v>
      </c>
      <c r="B1771" s="6" t="e">
        <v>#N/A</v>
      </c>
      <c r="C1771" s="2" t="e">
        <v>#N/A</v>
      </c>
      <c r="D1771" s="4">
        <v>7.1187300000000002</v>
      </c>
      <c r="E1771" s="4">
        <v>3.7008899999999998</v>
      </c>
      <c r="F1771" s="4">
        <v>4.5310000000000003E-2</v>
      </c>
    </row>
    <row r="1772" spans="1:6" x14ac:dyDescent="0.35">
      <c r="A1772" s="2" t="s">
        <v>2368</v>
      </c>
      <c r="B1772" s="6" t="e">
        <v>#N/A</v>
      </c>
      <c r="C1772" s="2" t="e">
        <v>#N/A</v>
      </c>
      <c r="D1772" s="4">
        <v>9.1194600000000001</v>
      </c>
      <c r="E1772" s="4">
        <v>5.7692800000000002</v>
      </c>
      <c r="F1772" s="4">
        <v>7.3969999999999994E-2</v>
      </c>
    </row>
    <row r="1773" spans="1:6" x14ac:dyDescent="0.35">
      <c r="A1773" s="2" t="s">
        <v>2369</v>
      </c>
      <c r="B1773" s="6" t="e">
        <v>#N/A</v>
      </c>
      <c r="C1773" s="2" t="e">
        <v>#N/A</v>
      </c>
      <c r="D1773" s="4">
        <v>9.37913</v>
      </c>
      <c r="E1773" s="4">
        <v>5.6178699999999999</v>
      </c>
      <c r="F1773" s="4">
        <v>7.3969999999999994E-2</v>
      </c>
    </row>
    <row r="1774" spans="1:6" x14ac:dyDescent="0.35">
      <c r="A1774" s="2" t="s">
        <v>2370</v>
      </c>
      <c r="B1774" s="6" t="e">
        <v>#N/A</v>
      </c>
      <c r="C1774" s="2" t="e">
        <v>#N/A</v>
      </c>
      <c r="D1774" s="4">
        <v>9.2541799999999999</v>
      </c>
      <c r="E1774" s="4">
        <v>5.78268</v>
      </c>
      <c r="F1774" s="4">
        <v>7.3969999999999994E-2</v>
      </c>
    </row>
    <row r="1775" spans="1:6" x14ac:dyDescent="0.35">
      <c r="A1775" s="2" t="s">
        <v>2371</v>
      </c>
      <c r="B1775" s="6" t="e">
        <v>#N/A</v>
      </c>
      <c r="C1775" s="2" t="e">
        <v>#N/A</v>
      </c>
      <c r="D1775" s="4">
        <v>9.2541799999999999</v>
      </c>
      <c r="E1775" s="4">
        <v>5.78268</v>
      </c>
      <c r="F1775" s="4">
        <v>7.3969999999999994E-2</v>
      </c>
    </row>
    <row r="1776" spans="1:6" x14ac:dyDescent="0.35">
      <c r="A1776" s="2" t="s">
        <v>2372</v>
      </c>
      <c r="B1776" s="6" t="e">
        <v>#N/A</v>
      </c>
      <c r="C1776" s="2" t="e">
        <v>#N/A</v>
      </c>
      <c r="D1776" s="4">
        <v>14.785360000000001</v>
      </c>
      <c r="E1776" s="4">
        <v>11.42005</v>
      </c>
      <c r="F1776" s="4">
        <v>8.9099999999999999E-2</v>
      </c>
    </row>
    <row r="1777" spans="1:6" x14ac:dyDescent="0.35">
      <c r="A1777" s="2" t="s">
        <v>2373</v>
      </c>
      <c r="B1777" s="6" t="e">
        <v>#N/A</v>
      </c>
      <c r="C1777" s="2" t="e">
        <v>#N/A</v>
      </c>
      <c r="D1777" s="4">
        <v>14.92008</v>
      </c>
      <c r="E1777" s="4">
        <v>11.433450000000001</v>
      </c>
      <c r="F1777" s="4">
        <v>8.9099999999999999E-2</v>
      </c>
    </row>
    <row r="1778" spans="1:6" x14ac:dyDescent="0.35">
      <c r="A1778" s="2" t="s">
        <v>2374</v>
      </c>
      <c r="B1778" s="6" t="e">
        <v>#N/A</v>
      </c>
      <c r="C1778" s="2" t="e">
        <v>#N/A</v>
      </c>
      <c r="D1778" s="4">
        <v>14.92008</v>
      </c>
      <c r="E1778" s="4">
        <v>11.433450000000001</v>
      </c>
      <c r="F1778" s="4">
        <v>8.9099999999999999E-2</v>
      </c>
    </row>
    <row r="1779" spans="1:6" x14ac:dyDescent="0.35">
      <c r="A1779" s="2" t="s">
        <v>2375</v>
      </c>
      <c r="B1779" s="6" t="e">
        <v>#N/A</v>
      </c>
      <c r="C1779" s="2" t="e">
        <v>#N/A</v>
      </c>
      <c r="D1779" s="4">
        <v>3.6962600000000001</v>
      </c>
      <c r="E1779" s="4">
        <v>2.0009999999999999</v>
      </c>
      <c r="F1779" s="4">
        <v>7.3929999999999996E-2</v>
      </c>
    </row>
    <row r="1780" spans="1:6" x14ac:dyDescent="0.35">
      <c r="A1780" s="2" t="s">
        <v>2376</v>
      </c>
      <c r="B1780" s="6" t="e">
        <v>#N/A</v>
      </c>
      <c r="C1780" s="2" t="e">
        <v>#N/A</v>
      </c>
      <c r="D1780" s="4">
        <v>3.69712</v>
      </c>
      <c r="E1780" s="4">
        <v>2.0008699999999999</v>
      </c>
      <c r="F1780" s="4">
        <v>7.492E-2</v>
      </c>
    </row>
    <row r="1781" spans="1:6" x14ac:dyDescent="0.35">
      <c r="A1781" s="2" t="s">
        <v>2377</v>
      </c>
      <c r="B1781" s="6" t="e">
        <v>#N/A</v>
      </c>
      <c r="C1781" s="2" t="e">
        <v>#N/A</v>
      </c>
      <c r="D1781" s="4">
        <v>3.69712</v>
      </c>
      <c r="E1781" s="4">
        <v>2.0008699999999999</v>
      </c>
      <c r="F1781" s="4">
        <v>7.492E-2</v>
      </c>
    </row>
    <row r="1782" spans="1:6" x14ac:dyDescent="0.35">
      <c r="A1782" s="2" t="s">
        <v>2378</v>
      </c>
      <c r="B1782" s="6" t="e">
        <v>#N/A</v>
      </c>
      <c r="C1782" s="2" t="e">
        <v>#N/A</v>
      </c>
      <c r="D1782" s="4">
        <v>2.89805</v>
      </c>
      <c r="E1782" s="4">
        <v>1.6516299999999999</v>
      </c>
      <c r="F1782" s="4">
        <v>3.7269999999999998E-2</v>
      </c>
    </row>
    <row r="1783" spans="1:6" x14ac:dyDescent="0.35">
      <c r="A1783" s="2" t="s">
        <v>2379</v>
      </c>
      <c r="B1783" s="6" t="e">
        <v>#N/A</v>
      </c>
      <c r="C1783" s="2" t="e">
        <v>#N/A</v>
      </c>
      <c r="D1783" s="4">
        <v>2.89899</v>
      </c>
      <c r="E1783" s="4">
        <v>1.6514800000000001</v>
      </c>
      <c r="F1783" s="4">
        <v>3.8359999999999998E-2</v>
      </c>
    </row>
    <row r="1784" spans="1:6" x14ac:dyDescent="0.35">
      <c r="A1784" s="2" t="s">
        <v>2380</v>
      </c>
      <c r="B1784" s="6" t="e">
        <v>#N/A</v>
      </c>
      <c r="C1784" s="2" t="e">
        <v>#N/A</v>
      </c>
      <c r="D1784" s="4">
        <v>2.89899</v>
      </c>
      <c r="E1784" s="4">
        <v>1.6514800000000001</v>
      </c>
      <c r="F1784" s="4">
        <v>3.8359999999999998E-2</v>
      </c>
    </row>
    <row r="1785" spans="1:6" x14ac:dyDescent="0.35">
      <c r="A1785" s="2" t="s">
        <v>2381</v>
      </c>
      <c r="B1785" s="6" t="s">
        <v>2382</v>
      </c>
      <c r="C1785" s="2" t="s">
        <v>461</v>
      </c>
      <c r="D1785" s="4">
        <v>2.7309899999999998</v>
      </c>
      <c r="E1785" s="4">
        <v>1.4556100000000001</v>
      </c>
      <c r="F1785" s="4">
        <v>3.7699999999999997E-2</v>
      </c>
    </row>
    <row r="1786" spans="1:6" x14ac:dyDescent="0.35">
      <c r="A1786" s="2" t="s">
        <v>2383</v>
      </c>
      <c r="B1786" s="6" t="e">
        <v>#N/A</v>
      </c>
      <c r="C1786" s="2" t="e">
        <v>#N/A</v>
      </c>
      <c r="D1786" s="4">
        <v>2.73183</v>
      </c>
      <c r="E1786" s="4">
        <v>1.4554199999999999</v>
      </c>
      <c r="F1786" s="4">
        <v>3.8730000000000001E-2</v>
      </c>
    </row>
    <row r="1787" spans="1:6" x14ac:dyDescent="0.35">
      <c r="A1787" s="2" t="s">
        <v>2384</v>
      </c>
      <c r="B1787" s="6" t="e">
        <v>#N/A</v>
      </c>
      <c r="C1787" s="2" t="e">
        <v>#N/A</v>
      </c>
      <c r="D1787" s="4">
        <v>2.73183</v>
      </c>
      <c r="E1787" s="4">
        <v>1.4554199999999999</v>
      </c>
      <c r="F1787" s="4">
        <v>3.8730000000000001E-2</v>
      </c>
    </row>
    <row r="1788" spans="1:6" x14ac:dyDescent="0.35">
      <c r="A1788" s="2" t="s">
        <v>2385</v>
      </c>
      <c r="B1788" s="6" t="e">
        <v>#N/A</v>
      </c>
      <c r="C1788" s="2" t="e">
        <v>#N/A</v>
      </c>
      <c r="D1788" s="4">
        <v>2.7309899999999998</v>
      </c>
      <c r="E1788" s="4">
        <v>1.4556100000000001</v>
      </c>
      <c r="F1788" s="4">
        <v>3.7699999999999997E-2</v>
      </c>
    </row>
    <row r="1789" spans="1:6" x14ac:dyDescent="0.35">
      <c r="A1789" s="2" t="s">
        <v>2386</v>
      </c>
      <c r="B1789" s="6" t="e">
        <v>#N/A</v>
      </c>
      <c r="C1789" s="2" t="e">
        <v>#N/A</v>
      </c>
      <c r="D1789" s="4">
        <v>2.73183</v>
      </c>
      <c r="E1789" s="4">
        <v>1.4554199999999999</v>
      </c>
      <c r="F1789" s="4">
        <v>3.8730000000000001E-2</v>
      </c>
    </row>
    <row r="1790" spans="1:6" x14ac:dyDescent="0.35">
      <c r="A1790" s="2" t="s">
        <v>2387</v>
      </c>
      <c r="B1790" s="6" t="e">
        <v>#N/A</v>
      </c>
      <c r="C1790" s="2" t="e">
        <v>#N/A</v>
      </c>
      <c r="D1790" s="4">
        <v>2.73183</v>
      </c>
      <c r="E1790" s="4">
        <v>1.4554199999999999</v>
      </c>
      <c r="F1790" s="4">
        <v>3.8730000000000001E-2</v>
      </c>
    </row>
    <row r="1791" spans="1:6" x14ac:dyDescent="0.35">
      <c r="A1791" s="2" t="s">
        <v>2388</v>
      </c>
      <c r="B1791" s="6" t="e">
        <v>#N/A</v>
      </c>
      <c r="C1791" s="2" t="e">
        <v>#N/A</v>
      </c>
      <c r="D1791" s="4">
        <v>2.7309899999999998</v>
      </c>
      <c r="E1791" s="4">
        <v>1.4556100000000001</v>
      </c>
      <c r="F1791" s="4">
        <v>3.7699999999999997E-2</v>
      </c>
    </row>
    <row r="1792" spans="1:6" x14ac:dyDescent="0.35">
      <c r="A1792" s="2" t="s">
        <v>2389</v>
      </c>
      <c r="B1792" s="6" t="e">
        <v>#N/A</v>
      </c>
      <c r="C1792" s="2" t="e">
        <v>#N/A</v>
      </c>
      <c r="D1792" s="4">
        <v>2.73183</v>
      </c>
      <c r="E1792" s="4">
        <v>1.4554199999999999</v>
      </c>
      <c r="F1792" s="4">
        <v>3.8730000000000001E-2</v>
      </c>
    </row>
    <row r="1793" spans="1:6" x14ac:dyDescent="0.35">
      <c r="A1793" s="2" t="s">
        <v>2390</v>
      </c>
      <c r="B1793" s="6" t="e">
        <v>#N/A</v>
      </c>
      <c r="C1793" s="2" t="e">
        <v>#N/A</v>
      </c>
      <c r="D1793" s="4">
        <v>2.73183</v>
      </c>
      <c r="E1793" s="4">
        <v>1.4554199999999999</v>
      </c>
      <c r="F1793" s="4">
        <v>3.8730000000000001E-2</v>
      </c>
    </row>
    <row r="1794" spans="1:6" x14ac:dyDescent="0.35">
      <c r="A1794" s="2" t="s">
        <v>2391</v>
      </c>
      <c r="B1794" s="6" t="e">
        <v>#N/A</v>
      </c>
      <c r="C1794" s="2" t="e">
        <v>#N/A</v>
      </c>
      <c r="D1794" s="4">
        <v>2.7309899999999998</v>
      </c>
      <c r="E1794" s="4">
        <v>1.4556100000000001</v>
      </c>
      <c r="F1794" s="4">
        <v>3.7699999999999997E-2</v>
      </c>
    </row>
    <row r="1795" spans="1:6" x14ac:dyDescent="0.35">
      <c r="A1795" s="2" t="s">
        <v>2392</v>
      </c>
      <c r="B1795" s="6" t="e">
        <v>#N/A</v>
      </c>
      <c r="C1795" s="2" t="e">
        <v>#N/A</v>
      </c>
      <c r="D1795" s="4">
        <v>2.73183</v>
      </c>
      <c r="E1795" s="4">
        <v>1.4554199999999999</v>
      </c>
      <c r="F1795" s="4">
        <v>3.8730000000000001E-2</v>
      </c>
    </row>
    <row r="1796" spans="1:6" x14ac:dyDescent="0.35">
      <c r="A1796" s="2" t="s">
        <v>2393</v>
      </c>
      <c r="B1796" s="6" t="e">
        <v>#N/A</v>
      </c>
      <c r="C1796" s="2" t="e">
        <v>#N/A</v>
      </c>
      <c r="D1796" s="4">
        <v>2.73183</v>
      </c>
      <c r="E1796" s="4">
        <v>1.4554199999999999</v>
      </c>
      <c r="F1796" s="4">
        <v>3.8730000000000001E-2</v>
      </c>
    </row>
    <row r="1797" spans="1:6" x14ac:dyDescent="0.35">
      <c r="A1797" s="2" t="s">
        <v>2394</v>
      </c>
      <c r="B1797" s="6" t="e">
        <v>#N/A</v>
      </c>
      <c r="C1797" s="2" t="e">
        <v>#N/A</v>
      </c>
      <c r="D1797" s="4">
        <v>2.7544900000000001</v>
      </c>
      <c r="E1797" s="4">
        <v>1.47912</v>
      </c>
      <c r="F1797" s="4">
        <v>3.7690000000000001E-2</v>
      </c>
    </row>
    <row r="1798" spans="1:6" x14ac:dyDescent="0.35">
      <c r="A1798" s="2" t="s">
        <v>2395</v>
      </c>
      <c r="B1798" s="6" t="e">
        <v>#N/A</v>
      </c>
      <c r="C1798" s="2" t="e">
        <v>#N/A</v>
      </c>
      <c r="D1798" s="4">
        <v>2.75535</v>
      </c>
      <c r="E1798" s="4">
        <v>1.47899</v>
      </c>
      <c r="F1798" s="4">
        <v>3.8679999999999999E-2</v>
      </c>
    </row>
    <row r="1799" spans="1:6" x14ac:dyDescent="0.35">
      <c r="A1799" s="2" t="s">
        <v>2396</v>
      </c>
      <c r="B1799" s="6" t="e">
        <v>#N/A</v>
      </c>
      <c r="C1799" s="2" t="e">
        <v>#N/A</v>
      </c>
      <c r="D1799" s="4">
        <v>2.75535</v>
      </c>
      <c r="E1799" s="4">
        <v>1.47899</v>
      </c>
      <c r="F1799" s="4">
        <v>3.8679999999999999E-2</v>
      </c>
    </row>
    <row r="1800" spans="1:6" x14ac:dyDescent="0.35">
      <c r="A1800" s="2" t="s">
        <v>2397</v>
      </c>
      <c r="B1800" s="6" t="e">
        <v>#N/A</v>
      </c>
      <c r="C1800" s="2" t="e">
        <v>#N/A</v>
      </c>
      <c r="D1800" s="4">
        <v>2.7544900000000001</v>
      </c>
      <c r="E1800" s="4">
        <v>1.47912</v>
      </c>
      <c r="F1800" s="4">
        <v>3.7690000000000001E-2</v>
      </c>
    </row>
    <row r="1801" spans="1:6" x14ac:dyDescent="0.35">
      <c r="A1801" s="2" t="s">
        <v>2398</v>
      </c>
      <c r="B1801" s="6" t="e">
        <v>#N/A</v>
      </c>
      <c r="C1801" s="2" t="e">
        <v>#N/A</v>
      </c>
      <c r="D1801" s="4">
        <v>2.75535</v>
      </c>
      <c r="E1801" s="4">
        <v>1.47899</v>
      </c>
      <c r="F1801" s="4">
        <v>3.8679999999999999E-2</v>
      </c>
    </row>
    <row r="1802" spans="1:6" x14ac:dyDescent="0.35">
      <c r="A1802" s="2" t="s">
        <v>2399</v>
      </c>
      <c r="B1802" s="6" t="e">
        <v>#N/A</v>
      </c>
      <c r="C1802" s="2" t="e">
        <v>#N/A</v>
      </c>
      <c r="D1802" s="4">
        <v>2.75535</v>
      </c>
      <c r="E1802" s="4">
        <v>1.47899</v>
      </c>
      <c r="F1802" s="4">
        <v>3.8679999999999999E-2</v>
      </c>
    </row>
    <row r="1803" spans="1:6" x14ac:dyDescent="0.35">
      <c r="A1803" s="2" t="s">
        <v>2400</v>
      </c>
      <c r="B1803" s="6" t="e">
        <v>#N/A</v>
      </c>
      <c r="C1803" s="2" t="e">
        <v>#N/A</v>
      </c>
      <c r="D1803" s="4">
        <v>2.5713200000000001</v>
      </c>
      <c r="E1803" s="4">
        <v>1.29142</v>
      </c>
      <c r="F1803" s="4">
        <v>3.8600000000000002E-2</v>
      </c>
    </row>
    <row r="1804" spans="1:6" x14ac:dyDescent="0.35">
      <c r="A1804" s="2" t="s">
        <v>2401</v>
      </c>
      <c r="B1804" s="6" t="e">
        <v>#N/A</v>
      </c>
      <c r="C1804" s="2" t="e">
        <v>#N/A</v>
      </c>
      <c r="D1804" s="4">
        <v>2.5721599999999998</v>
      </c>
      <c r="E1804" s="4">
        <v>1.2912300000000001</v>
      </c>
      <c r="F1804" s="4">
        <v>3.9629999999999999E-2</v>
      </c>
    </row>
    <row r="1805" spans="1:6" x14ac:dyDescent="0.35">
      <c r="A1805" s="2" t="s">
        <v>2402</v>
      </c>
      <c r="B1805" s="6" t="e">
        <v>#N/A</v>
      </c>
      <c r="C1805" s="2" t="e">
        <v>#N/A</v>
      </c>
      <c r="D1805" s="4">
        <v>2.5721599999999998</v>
      </c>
      <c r="E1805" s="4">
        <v>1.2912300000000001</v>
      </c>
      <c r="F1805" s="4">
        <v>3.9629999999999999E-2</v>
      </c>
    </row>
    <row r="1806" spans="1:6" x14ac:dyDescent="0.35">
      <c r="A1806" s="2" t="s">
        <v>2403</v>
      </c>
      <c r="B1806" s="6" t="e">
        <v>#N/A</v>
      </c>
      <c r="C1806" s="2" t="e">
        <v>#N/A</v>
      </c>
      <c r="D1806" s="4">
        <v>18.142430000000001</v>
      </c>
      <c r="E1806" s="4">
        <v>11.492279999999999</v>
      </c>
      <c r="F1806" s="4">
        <v>0.18969</v>
      </c>
    </row>
    <row r="1807" spans="1:6" x14ac:dyDescent="0.35">
      <c r="A1807" s="2" t="s">
        <v>2404</v>
      </c>
      <c r="B1807" s="6" t="e">
        <v>#N/A</v>
      </c>
      <c r="C1807" s="2" t="e">
        <v>#N/A</v>
      </c>
      <c r="D1807" s="4">
        <v>46.008629999999997</v>
      </c>
      <c r="E1807" s="4">
        <v>28.942419999999998</v>
      </c>
      <c r="F1807" s="4">
        <v>0.51939000000000002</v>
      </c>
    </row>
    <row r="1808" spans="1:6" x14ac:dyDescent="0.35">
      <c r="A1808" s="2" t="s">
        <v>2405</v>
      </c>
      <c r="B1808" s="6" t="e">
        <v>#N/A</v>
      </c>
      <c r="C1808" s="2" t="e">
        <v>#N/A</v>
      </c>
      <c r="D1808" s="4">
        <v>20.60172</v>
      </c>
      <c r="E1808" s="4">
        <v>14.010199999999999</v>
      </c>
      <c r="F1808" s="4">
        <v>0.13106000000000001</v>
      </c>
    </row>
    <row r="1809" spans="1:6" x14ac:dyDescent="0.35">
      <c r="A1809" s="2" t="s">
        <v>2406</v>
      </c>
      <c r="B1809" s="6" t="e">
        <v>#N/A</v>
      </c>
      <c r="C1809" s="2" t="e">
        <v>#N/A</v>
      </c>
      <c r="D1809" s="4">
        <v>16.96491</v>
      </c>
      <c r="E1809" s="4">
        <v>10.33583</v>
      </c>
      <c r="F1809" s="4">
        <v>0.16861999999999999</v>
      </c>
    </row>
    <row r="1810" spans="1:6" x14ac:dyDescent="0.35">
      <c r="A1810" s="2" t="s">
        <v>2407</v>
      </c>
      <c r="B1810" s="6" t="e">
        <v>#N/A</v>
      </c>
      <c r="C1810" s="2" t="e">
        <v>#N/A</v>
      </c>
      <c r="D1810" s="4">
        <v>24.465</v>
      </c>
      <c r="E1810" s="4">
        <v>15.682040000000001</v>
      </c>
      <c r="F1810" s="4">
        <v>0.33989000000000003</v>
      </c>
    </row>
    <row r="1811" spans="1:6" x14ac:dyDescent="0.35">
      <c r="A1811" s="2" t="s">
        <v>2408</v>
      </c>
      <c r="B1811" s="6" t="e">
        <v>#N/A</v>
      </c>
      <c r="C1811" s="2" t="e">
        <v>#N/A</v>
      </c>
      <c r="D1811" s="4">
        <v>18.00177</v>
      </c>
      <c r="E1811" s="4">
        <v>11.370559999999999</v>
      </c>
      <c r="F1811" s="4">
        <v>0.17075000000000001</v>
      </c>
    </row>
    <row r="1812" spans="1:6" x14ac:dyDescent="0.35">
      <c r="A1812" s="2" t="s">
        <v>2409</v>
      </c>
      <c r="B1812" s="6" t="e">
        <v>#N/A</v>
      </c>
      <c r="C1812" s="2" t="e">
        <v>#N/A</v>
      </c>
      <c r="D1812" s="4">
        <v>46.008629999999997</v>
      </c>
      <c r="E1812" s="4">
        <v>28.942419999999998</v>
      </c>
      <c r="F1812" s="4">
        <v>0.51939000000000002</v>
      </c>
    </row>
    <row r="1813" spans="1:6" x14ac:dyDescent="0.35">
      <c r="A1813" s="2" t="s">
        <v>2410</v>
      </c>
      <c r="B1813" s="6" t="e">
        <v>#N/A</v>
      </c>
      <c r="C1813" s="2" t="e">
        <v>#N/A</v>
      </c>
      <c r="D1813" s="4">
        <v>46.008629999999997</v>
      </c>
      <c r="E1813" s="4">
        <v>28.942419999999998</v>
      </c>
      <c r="F1813" s="4">
        <v>0.51939000000000002</v>
      </c>
    </row>
    <row r="1814" spans="1:6" x14ac:dyDescent="0.35">
      <c r="A1814" s="2" t="s">
        <v>2411</v>
      </c>
      <c r="B1814" s="6" t="e">
        <v>#N/A</v>
      </c>
      <c r="C1814" s="2" t="e">
        <v>#N/A</v>
      </c>
      <c r="D1814" s="4">
        <v>47.834049999999998</v>
      </c>
      <c r="E1814" s="4">
        <v>28.942419999999998</v>
      </c>
      <c r="F1814" s="4">
        <v>0.51939000000000002</v>
      </c>
    </row>
    <row r="1815" spans="1:6" x14ac:dyDescent="0.35">
      <c r="A1815" s="2" t="s">
        <v>2412</v>
      </c>
      <c r="B1815" s="6" t="e">
        <v>#N/A</v>
      </c>
      <c r="C1815" s="2" t="e">
        <v>#N/A</v>
      </c>
      <c r="D1815" s="4">
        <v>47.834049999999998</v>
      </c>
      <c r="E1815" s="4">
        <v>28.942419999999998</v>
      </c>
      <c r="F1815" s="4">
        <v>0.51939000000000002</v>
      </c>
    </row>
    <row r="1816" spans="1:6" x14ac:dyDescent="0.35">
      <c r="A1816" s="2" t="s">
        <v>2413</v>
      </c>
      <c r="B1816" s="6" t="e">
        <v>#N/A</v>
      </c>
      <c r="C1816" s="2" t="e">
        <v>#N/A</v>
      </c>
      <c r="D1816" s="4">
        <v>20.502120000000001</v>
      </c>
      <c r="E1816" s="4">
        <v>13.92244</v>
      </c>
      <c r="F1816" s="4">
        <v>0.11922000000000001</v>
      </c>
    </row>
    <row r="1817" spans="1:6" x14ac:dyDescent="0.35">
      <c r="A1817" s="2" t="s">
        <v>2414</v>
      </c>
      <c r="B1817" s="6" t="e">
        <v>#N/A</v>
      </c>
      <c r="C1817" s="2" t="e">
        <v>#N/A</v>
      </c>
      <c r="D1817" s="4">
        <v>20.971150000000002</v>
      </c>
      <c r="E1817" s="4">
        <v>14.39147</v>
      </c>
      <c r="F1817" s="4">
        <v>0.11922000000000001</v>
      </c>
    </row>
    <row r="1818" spans="1:6" x14ac:dyDescent="0.35">
      <c r="A1818" s="2" t="s">
        <v>2415</v>
      </c>
      <c r="B1818" s="6" t="e">
        <v>#N/A</v>
      </c>
      <c r="C1818" s="2" t="e">
        <v>#N/A</v>
      </c>
      <c r="D1818" s="4">
        <v>21.674569999999999</v>
      </c>
      <c r="E1818" s="4">
        <v>13.25032</v>
      </c>
      <c r="F1818" s="4">
        <v>0.20547000000000001</v>
      </c>
    </row>
    <row r="1819" spans="1:6" x14ac:dyDescent="0.35">
      <c r="A1819" s="2" t="s">
        <v>2416</v>
      </c>
      <c r="B1819" s="6" t="e">
        <v>#N/A</v>
      </c>
      <c r="C1819" s="2" t="e">
        <v>#N/A</v>
      </c>
      <c r="D1819" s="4">
        <v>16.81701</v>
      </c>
      <c r="E1819" s="4">
        <v>10.20806</v>
      </c>
      <c r="F1819" s="4">
        <v>0.14849000000000001</v>
      </c>
    </row>
    <row r="1820" spans="1:6" x14ac:dyDescent="0.35">
      <c r="A1820" s="2" t="s">
        <v>2417</v>
      </c>
      <c r="B1820" s="6" t="e">
        <v>#N/A</v>
      </c>
      <c r="C1820" s="2" t="e">
        <v>#N/A</v>
      </c>
      <c r="D1820" s="4">
        <v>16.95767</v>
      </c>
      <c r="E1820" s="4">
        <v>10.32978</v>
      </c>
      <c r="F1820" s="4">
        <v>0.16743</v>
      </c>
    </row>
    <row r="1821" spans="1:6" x14ac:dyDescent="0.35">
      <c r="A1821" s="2" t="s">
        <v>2418</v>
      </c>
      <c r="B1821" s="6" t="e">
        <v>#N/A</v>
      </c>
      <c r="C1821" s="2" t="e">
        <v>#N/A</v>
      </c>
      <c r="D1821" s="4">
        <v>24.328109999999999</v>
      </c>
      <c r="E1821" s="4">
        <v>15.56883</v>
      </c>
      <c r="F1821" s="4">
        <v>0.31620999999999999</v>
      </c>
    </row>
    <row r="1822" spans="1:6" x14ac:dyDescent="0.35">
      <c r="A1822" s="2" t="s">
        <v>2419</v>
      </c>
      <c r="B1822" s="6" t="e">
        <v>#N/A</v>
      </c>
      <c r="C1822" s="2" t="e">
        <v>#N/A</v>
      </c>
      <c r="D1822" s="4">
        <v>22.114650000000001</v>
      </c>
      <c r="E1822" s="4">
        <v>11.78241</v>
      </c>
      <c r="F1822" s="4">
        <v>0.17075000000000001</v>
      </c>
    </row>
    <row r="1823" spans="1:6" x14ac:dyDescent="0.35">
      <c r="A1823" s="2" t="s">
        <v>2420</v>
      </c>
      <c r="B1823" s="6" t="e">
        <v>#N/A</v>
      </c>
      <c r="C1823" s="2" t="e">
        <v>#N/A</v>
      </c>
      <c r="D1823" s="4">
        <v>50.899929999999998</v>
      </c>
      <c r="E1823" s="4">
        <v>30.1327</v>
      </c>
      <c r="F1823" s="4">
        <v>0.51939000000000002</v>
      </c>
    </row>
    <row r="1824" spans="1:6" x14ac:dyDescent="0.35">
      <c r="A1824" s="2" t="s">
        <v>2421</v>
      </c>
      <c r="B1824" s="6" t="e">
        <v>#N/A</v>
      </c>
      <c r="C1824" s="2" t="e">
        <v>#N/A</v>
      </c>
      <c r="D1824" s="4">
        <v>24.466740000000001</v>
      </c>
      <c r="E1824" s="4">
        <v>14.186030000000001</v>
      </c>
      <c r="F1824" s="4">
        <v>0.11922000000000001</v>
      </c>
    </row>
    <row r="1825" spans="1:6" x14ac:dyDescent="0.35">
      <c r="A1825" s="2" t="s">
        <v>2422</v>
      </c>
      <c r="B1825" s="6" t="e">
        <v>#N/A</v>
      </c>
      <c r="C1825" s="2" t="e">
        <v>#N/A</v>
      </c>
      <c r="D1825" s="4">
        <v>25.787479999999999</v>
      </c>
      <c r="E1825" s="4">
        <v>13.662179999999999</v>
      </c>
      <c r="F1825" s="4">
        <v>0.20547000000000001</v>
      </c>
    </row>
    <row r="1826" spans="1:6" x14ac:dyDescent="0.35">
      <c r="A1826" s="2" t="s">
        <v>2423</v>
      </c>
      <c r="B1826" s="6" t="e">
        <v>#N/A</v>
      </c>
      <c r="C1826" s="2" t="e">
        <v>#N/A</v>
      </c>
      <c r="D1826" s="4">
        <v>20.92991</v>
      </c>
      <c r="E1826" s="4">
        <v>10.61993</v>
      </c>
      <c r="F1826" s="4">
        <v>0.14849000000000001</v>
      </c>
    </row>
    <row r="1827" spans="1:6" x14ac:dyDescent="0.35">
      <c r="A1827" s="2" t="s">
        <v>2424</v>
      </c>
      <c r="B1827" s="6" t="e">
        <v>#N/A</v>
      </c>
      <c r="C1827" s="2" t="e">
        <v>#N/A</v>
      </c>
      <c r="D1827" s="4">
        <v>28.725200000000001</v>
      </c>
      <c r="E1827" s="4">
        <v>16.264869999999998</v>
      </c>
      <c r="F1827" s="4">
        <v>0.31620999999999999</v>
      </c>
    </row>
    <row r="1828" spans="1:6" x14ac:dyDescent="0.35">
      <c r="A1828" s="2" t="s">
        <v>2425</v>
      </c>
      <c r="B1828" s="6" t="e">
        <v>#N/A</v>
      </c>
      <c r="C1828" s="2" t="e">
        <v>#N/A</v>
      </c>
      <c r="D1828" s="4">
        <v>26.839089999999999</v>
      </c>
      <c r="E1828" s="4">
        <v>14.6632</v>
      </c>
      <c r="F1828" s="4">
        <v>0.25606000000000001</v>
      </c>
    </row>
    <row r="1829" spans="1:6" x14ac:dyDescent="0.35">
      <c r="A1829" s="2" t="s">
        <v>2426</v>
      </c>
      <c r="B1829" s="6" t="e">
        <v>#N/A</v>
      </c>
      <c r="C1829" s="2" t="e">
        <v>#N/A</v>
      </c>
      <c r="D1829" s="4">
        <v>55.297539999999998</v>
      </c>
      <c r="E1829" s="4">
        <v>34.401220000000002</v>
      </c>
      <c r="F1829" s="4">
        <v>0.64847999999999995</v>
      </c>
    </row>
    <row r="1830" spans="1:6" x14ac:dyDescent="0.35">
      <c r="A1830" s="2" t="s">
        <v>2427</v>
      </c>
      <c r="B1830" s="6" t="e">
        <v>#N/A</v>
      </c>
      <c r="C1830" s="2" t="e">
        <v>#N/A</v>
      </c>
      <c r="D1830" s="4">
        <v>15.52295</v>
      </c>
      <c r="E1830" s="4">
        <v>8.8899600000000003</v>
      </c>
      <c r="F1830" s="4">
        <v>0.17252999999999999</v>
      </c>
    </row>
    <row r="1831" spans="1:6" x14ac:dyDescent="0.35">
      <c r="A1831" s="2" t="s">
        <v>2428</v>
      </c>
      <c r="B1831" s="6" t="e">
        <v>#N/A</v>
      </c>
      <c r="C1831" s="2" t="e">
        <v>#N/A</v>
      </c>
      <c r="D1831" s="4">
        <v>50.33531</v>
      </c>
      <c r="E1831" s="4">
        <v>39.889119999999998</v>
      </c>
      <c r="F1831" s="4">
        <v>0.59043000000000001</v>
      </c>
    </row>
    <row r="1832" spans="1:6" x14ac:dyDescent="0.35">
      <c r="A1832" s="2" t="s">
        <v>2429</v>
      </c>
      <c r="B1832" s="6" t="e">
        <v>#N/A</v>
      </c>
      <c r="C1832" s="2" t="e">
        <v>#N/A</v>
      </c>
      <c r="D1832" s="4">
        <v>17.632960000000001</v>
      </c>
      <c r="E1832" s="4">
        <v>10.954140000000001</v>
      </c>
      <c r="F1832" s="4">
        <v>0.21836</v>
      </c>
    </row>
    <row r="1833" spans="1:6" x14ac:dyDescent="0.35">
      <c r="A1833" s="2" t="s">
        <v>2430</v>
      </c>
      <c r="B1833" s="6" t="e">
        <v>#N/A</v>
      </c>
      <c r="C1833" s="2" t="e">
        <v>#N/A</v>
      </c>
      <c r="D1833" s="4">
        <v>11.31362</v>
      </c>
      <c r="E1833" s="4">
        <v>4.82362</v>
      </c>
      <c r="F1833" s="4">
        <v>9.5469999999999999E-2</v>
      </c>
    </row>
    <row r="1834" spans="1:6" x14ac:dyDescent="0.35">
      <c r="A1834" s="2" t="s">
        <v>2431</v>
      </c>
      <c r="B1834" s="6" t="e">
        <v>#N/A</v>
      </c>
      <c r="C1834" s="2" t="e">
        <v>#N/A</v>
      </c>
      <c r="D1834" s="4">
        <v>33.916870000000003</v>
      </c>
      <c r="E1834" s="4">
        <v>23.717400000000001</v>
      </c>
      <c r="F1834" s="4">
        <v>0.34371000000000002</v>
      </c>
    </row>
    <row r="1835" spans="1:6" x14ac:dyDescent="0.35">
      <c r="A1835" s="2" t="s">
        <v>2432</v>
      </c>
      <c r="B1835" s="6" t="e">
        <v>#N/A</v>
      </c>
      <c r="C1835" s="2" t="e">
        <v>#N/A</v>
      </c>
      <c r="D1835" s="4">
        <v>102.10724999999999</v>
      </c>
      <c r="E1835" s="4">
        <v>88.971080000000001</v>
      </c>
      <c r="F1835" s="4">
        <v>1.52206</v>
      </c>
    </row>
    <row r="1836" spans="1:6" x14ac:dyDescent="0.35">
      <c r="A1836" s="2" t="s">
        <v>2433</v>
      </c>
      <c r="B1836" s="6" t="e">
        <v>#N/A</v>
      </c>
      <c r="C1836" s="2" t="e">
        <v>#N/A</v>
      </c>
      <c r="D1836" s="4">
        <v>78.380110000000002</v>
      </c>
      <c r="E1836" s="4">
        <v>67.383020000000002</v>
      </c>
      <c r="F1836" s="4">
        <v>1.14133</v>
      </c>
    </row>
    <row r="1837" spans="1:6" x14ac:dyDescent="0.35">
      <c r="A1837" s="2" t="s">
        <v>2434</v>
      </c>
      <c r="B1837" s="6" t="e">
        <v>#N/A</v>
      </c>
      <c r="C1837" s="2" t="e">
        <v>#N/A</v>
      </c>
      <c r="D1837" s="4">
        <v>15.289870000000001</v>
      </c>
      <c r="E1837" s="4">
        <v>8.6805599999999998</v>
      </c>
      <c r="F1837" s="4">
        <v>0.14885000000000001</v>
      </c>
    </row>
    <row r="1838" spans="1:6" x14ac:dyDescent="0.35">
      <c r="A1838" s="2" t="s">
        <v>2435</v>
      </c>
      <c r="B1838" s="6" t="e">
        <v>#N/A</v>
      </c>
      <c r="C1838" s="2" t="e">
        <v>#N/A</v>
      </c>
      <c r="D1838" s="4">
        <v>15.289870000000001</v>
      </c>
      <c r="E1838" s="4">
        <v>8.6805599999999998</v>
      </c>
      <c r="F1838" s="4">
        <v>0.14885000000000001</v>
      </c>
    </row>
    <row r="1839" spans="1:6" x14ac:dyDescent="0.35">
      <c r="A1839" s="2" t="s">
        <v>2436</v>
      </c>
      <c r="B1839" s="6" t="e">
        <v>#N/A</v>
      </c>
      <c r="C1839" s="2" t="e">
        <v>#N/A</v>
      </c>
      <c r="D1839" s="4">
        <v>15.52295</v>
      </c>
      <c r="E1839" s="4">
        <v>8.8899600000000003</v>
      </c>
      <c r="F1839" s="4">
        <v>0.17252999999999999</v>
      </c>
    </row>
    <row r="1840" spans="1:6" x14ac:dyDescent="0.35">
      <c r="A1840" s="2" t="s">
        <v>2437</v>
      </c>
      <c r="B1840" s="6" t="e">
        <v>#N/A</v>
      </c>
      <c r="C1840" s="2" t="e">
        <v>#N/A</v>
      </c>
      <c r="D1840" s="4">
        <v>15.52295</v>
      </c>
      <c r="E1840" s="4">
        <v>8.8899600000000003</v>
      </c>
      <c r="F1840" s="4">
        <v>0.17252999999999999</v>
      </c>
    </row>
    <row r="1841" spans="1:6" x14ac:dyDescent="0.35">
      <c r="A1841" s="2" t="s">
        <v>2438</v>
      </c>
      <c r="B1841" s="6" t="e">
        <v>#N/A</v>
      </c>
      <c r="C1841" s="2" t="e">
        <v>#N/A</v>
      </c>
      <c r="D1841" s="4">
        <v>50.33531</v>
      </c>
      <c r="E1841" s="4">
        <v>39.889119999999998</v>
      </c>
      <c r="F1841" s="4">
        <v>0.59043000000000001</v>
      </c>
    </row>
    <row r="1842" spans="1:6" x14ac:dyDescent="0.35">
      <c r="A1842" s="2" t="s">
        <v>2439</v>
      </c>
      <c r="B1842" s="6" t="e">
        <v>#N/A</v>
      </c>
      <c r="C1842" s="2" t="e">
        <v>#N/A</v>
      </c>
      <c r="D1842" s="4">
        <v>50.33531</v>
      </c>
      <c r="E1842" s="4">
        <v>39.889119999999998</v>
      </c>
      <c r="F1842" s="4">
        <v>0.59043000000000001</v>
      </c>
    </row>
    <row r="1843" spans="1:6" x14ac:dyDescent="0.35">
      <c r="A1843" s="2" t="s">
        <v>2440</v>
      </c>
      <c r="B1843" s="6" t="e">
        <v>#N/A</v>
      </c>
      <c r="C1843" s="2" t="e">
        <v>#N/A</v>
      </c>
      <c r="D1843" s="4">
        <v>52.160730000000001</v>
      </c>
      <c r="E1843" s="4">
        <v>39.889119999999998</v>
      </c>
      <c r="F1843" s="4">
        <v>0.59043000000000001</v>
      </c>
    </row>
    <row r="1844" spans="1:6" x14ac:dyDescent="0.35">
      <c r="A1844" s="2" t="s">
        <v>2441</v>
      </c>
      <c r="B1844" s="6" t="e">
        <v>#N/A</v>
      </c>
      <c r="C1844" s="2" t="e">
        <v>#N/A</v>
      </c>
      <c r="D1844" s="4">
        <v>50.33531</v>
      </c>
      <c r="E1844" s="4">
        <v>39.889119999999998</v>
      </c>
      <c r="F1844" s="4">
        <v>0.59043000000000001</v>
      </c>
    </row>
    <row r="1845" spans="1:6" x14ac:dyDescent="0.35">
      <c r="A1845" s="2" t="s">
        <v>2442</v>
      </c>
      <c r="B1845" s="6" t="e">
        <v>#N/A</v>
      </c>
      <c r="C1845" s="2" t="e">
        <v>#N/A</v>
      </c>
      <c r="D1845" s="4">
        <v>13.061730000000001</v>
      </c>
      <c r="E1845" s="4">
        <v>6.5877999999999997</v>
      </c>
      <c r="F1845" s="4">
        <v>7.9399999999999998E-2</v>
      </c>
    </row>
    <row r="1846" spans="1:6" x14ac:dyDescent="0.35">
      <c r="A1846" s="2" t="s">
        <v>2443</v>
      </c>
      <c r="B1846" s="6" t="e">
        <v>#N/A</v>
      </c>
      <c r="C1846" s="2" t="e">
        <v>#N/A</v>
      </c>
      <c r="D1846" s="4">
        <v>17.433759999999999</v>
      </c>
      <c r="E1846" s="4">
        <v>10.77862</v>
      </c>
      <c r="F1846" s="4">
        <v>0.19467999999999999</v>
      </c>
    </row>
    <row r="1847" spans="1:6" x14ac:dyDescent="0.35">
      <c r="A1847" s="2" t="s">
        <v>2444</v>
      </c>
      <c r="B1847" s="6" t="e">
        <v>#N/A</v>
      </c>
      <c r="C1847" s="2" t="e">
        <v>#N/A</v>
      </c>
      <c r="D1847" s="4">
        <v>17.433759999999999</v>
      </c>
      <c r="E1847" s="4">
        <v>10.77862</v>
      </c>
      <c r="F1847" s="4">
        <v>0.19467999999999999</v>
      </c>
    </row>
    <row r="1848" spans="1:6" x14ac:dyDescent="0.35">
      <c r="A1848" s="2" t="s">
        <v>2445</v>
      </c>
      <c r="B1848" s="6" t="e">
        <v>#N/A</v>
      </c>
      <c r="C1848" s="2" t="e">
        <v>#N/A</v>
      </c>
      <c r="D1848" s="4">
        <v>17.632960000000001</v>
      </c>
      <c r="E1848" s="4">
        <v>10.954140000000001</v>
      </c>
      <c r="F1848" s="4">
        <v>0.21836</v>
      </c>
    </row>
    <row r="1849" spans="1:6" x14ac:dyDescent="0.35">
      <c r="A1849" s="2" t="s">
        <v>2446</v>
      </c>
      <c r="B1849" s="6" t="e">
        <v>#N/A</v>
      </c>
      <c r="C1849" s="2" t="e">
        <v>#N/A</v>
      </c>
      <c r="D1849" s="4">
        <v>11.180249999999999</v>
      </c>
      <c r="E1849" s="4">
        <v>4.7048199999999998</v>
      </c>
      <c r="F1849" s="4">
        <v>8.09E-2</v>
      </c>
    </row>
    <row r="1850" spans="1:6" x14ac:dyDescent="0.35">
      <c r="A1850" s="2" t="s">
        <v>2447</v>
      </c>
      <c r="B1850" s="6" t="e">
        <v>#N/A</v>
      </c>
      <c r="C1850" s="2" t="e">
        <v>#N/A</v>
      </c>
      <c r="D1850" s="4">
        <v>11.180249999999999</v>
      </c>
      <c r="E1850" s="4">
        <v>4.7048199999999998</v>
      </c>
      <c r="F1850" s="4">
        <v>8.09E-2</v>
      </c>
    </row>
    <row r="1851" spans="1:6" x14ac:dyDescent="0.35">
      <c r="A1851" s="2" t="s">
        <v>2448</v>
      </c>
      <c r="B1851" s="6" t="e">
        <v>#N/A</v>
      </c>
      <c r="C1851" s="2" t="e">
        <v>#N/A</v>
      </c>
      <c r="D1851" s="4">
        <v>33.916870000000003</v>
      </c>
      <c r="E1851" s="4">
        <v>23.717400000000001</v>
      </c>
      <c r="F1851" s="4">
        <v>0.34371000000000002</v>
      </c>
    </row>
    <row r="1852" spans="1:6" x14ac:dyDescent="0.35">
      <c r="A1852" s="2" t="s">
        <v>2449</v>
      </c>
      <c r="B1852" s="6" t="e">
        <v>#N/A</v>
      </c>
      <c r="C1852" s="2" t="e">
        <v>#N/A</v>
      </c>
      <c r="D1852" s="4">
        <v>33.916870000000003</v>
      </c>
      <c r="E1852" s="4">
        <v>23.717400000000001</v>
      </c>
      <c r="F1852" s="4">
        <v>0.34371000000000002</v>
      </c>
    </row>
    <row r="1853" spans="1:6" x14ac:dyDescent="0.35">
      <c r="A1853" s="2" t="s">
        <v>2450</v>
      </c>
      <c r="B1853" s="6" t="e">
        <v>#N/A</v>
      </c>
      <c r="C1853" s="2" t="e">
        <v>#N/A</v>
      </c>
      <c r="D1853" s="4">
        <v>33.916870000000003</v>
      </c>
      <c r="E1853" s="4">
        <v>23.717400000000001</v>
      </c>
      <c r="F1853" s="4">
        <v>0.34371000000000002</v>
      </c>
    </row>
    <row r="1854" spans="1:6" x14ac:dyDescent="0.35">
      <c r="A1854" s="2" t="s">
        <v>2451</v>
      </c>
      <c r="B1854" s="6" t="e">
        <v>#N/A</v>
      </c>
      <c r="C1854" s="2" t="e">
        <v>#N/A</v>
      </c>
      <c r="D1854" s="4">
        <v>21.728400000000001</v>
      </c>
      <c r="E1854" s="4">
        <v>15.14907</v>
      </c>
      <c r="F1854" s="4">
        <v>0.11887</v>
      </c>
    </row>
    <row r="1855" spans="1:6" x14ac:dyDescent="0.35">
      <c r="A1855" s="2" t="s">
        <v>2452</v>
      </c>
      <c r="B1855" s="6" t="e">
        <v>#N/A</v>
      </c>
      <c r="C1855" s="2" t="e">
        <v>#N/A</v>
      </c>
      <c r="D1855" s="4">
        <v>102.10724999999999</v>
      </c>
      <c r="E1855" s="4">
        <v>88.971080000000001</v>
      </c>
      <c r="F1855" s="4">
        <v>1.52206</v>
      </c>
    </row>
    <row r="1856" spans="1:6" x14ac:dyDescent="0.35">
      <c r="A1856" s="2" t="s">
        <v>2453</v>
      </c>
      <c r="B1856" s="6" t="e">
        <v>#N/A</v>
      </c>
      <c r="C1856" s="2" t="e">
        <v>#N/A</v>
      </c>
      <c r="D1856" s="4">
        <v>102.13813</v>
      </c>
      <c r="E1856" s="4">
        <v>88.996889999999993</v>
      </c>
      <c r="F1856" s="4">
        <v>1.5271300000000001</v>
      </c>
    </row>
    <row r="1857" spans="1:6" x14ac:dyDescent="0.35">
      <c r="A1857" s="2" t="s">
        <v>2454</v>
      </c>
      <c r="B1857" s="6" t="e">
        <v>#N/A</v>
      </c>
      <c r="C1857" s="2" t="e">
        <v>#N/A</v>
      </c>
      <c r="D1857" s="4">
        <v>78.380110000000002</v>
      </c>
      <c r="E1857" s="4">
        <v>67.383020000000002</v>
      </c>
      <c r="F1857" s="4">
        <v>1.14133</v>
      </c>
    </row>
    <row r="1858" spans="1:6" x14ac:dyDescent="0.35">
      <c r="A1858" s="2" t="s">
        <v>2455</v>
      </c>
      <c r="B1858" s="6" t="e">
        <v>#N/A</v>
      </c>
      <c r="C1858" s="2" t="e">
        <v>#N/A</v>
      </c>
      <c r="D1858" s="4">
        <v>110.32379</v>
      </c>
      <c r="E1858" s="4">
        <v>96.943690000000004</v>
      </c>
      <c r="F1858" s="4">
        <v>1.7659899999999999</v>
      </c>
    </row>
    <row r="1859" spans="1:6" x14ac:dyDescent="0.35">
      <c r="A1859" s="2" t="s">
        <v>2456</v>
      </c>
      <c r="B1859" s="6" t="e">
        <v>#N/A</v>
      </c>
      <c r="C1859" s="2" t="e">
        <v>#N/A</v>
      </c>
      <c r="D1859" s="4">
        <v>110.35867</v>
      </c>
      <c r="E1859" s="4">
        <v>96.972859999999997</v>
      </c>
      <c r="F1859" s="4">
        <v>1.7717000000000001</v>
      </c>
    </row>
    <row r="1860" spans="1:6" x14ac:dyDescent="0.35">
      <c r="A1860" s="2" t="s">
        <v>2457</v>
      </c>
      <c r="B1860" s="6" t="e">
        <v>#N/A</v>
      </c>
      <c r="C1860" s="2" t="e">
        <v>#N/A</v>
      </c>
      <c r="D1860" s="4">
        <v>47.916420000000002</v>
      </c>
      <c r="E1860" s="4">
        <v>37.402790000000003</v>
      </c>
      <c r="F1860" s="4">
        <v>0.65786999999999995</v>
      </c>
    </row>
    <row r="1861" spans="1:6" x14ac:dyDescent="0.35">
      <c r="A1861" s="2" t="s">
        <v>2458</v>
      </c>
      <c r="B1861" s="6" t="e">
        <v>#N/A</v>
      </c>
      <c r="C1861" s="2" t="e">
        <v>#N/A</v>
      </c>
      <c r="D1861" s="4">
        <v>83.648960000000002</v>
      </c>
      <c r="E1861" s="4">
        <v>72.589759999999998</v>
      </c>
      <c r="F1861" s="4">
        <v>1.2034400000000001</v>
      </c>
    </row>
    <row r="1862" spans="1:6" x14ac:dyDescent="0.35">
      <c r="A1862" s="2" t="s">
        <v>2459</v>
      </c>
      <c r="B1862" s="6" t="e">
        <v>#N/A</v>
      </c>
      <c r="C1862" s="2" t="e">
        <v>#N/A</v>
      </c>
      <c r="D1862" s="4">
        <v>85.474379999999996</v>
      </c>
      <c r="E1862" s="4">
        <v>72.589759999999998</v>
      </c>
      <c r="F1862" s="4">
        <v>1.2034400000000001</v>
      </c>
    </row>
    <row r="1863" spans="1:6" x14ac:dyDescent="0.35">
      <c r="A1863" s="2" t="s">
        <v>2460</v>
      </c>
      <c r="B1863" s="6" t="e">
        <v>#N/A</v>
      </c>
      <c r="C1863" s="2" t="e">
        <v>#N/A</v>
      </c>
      <c r="D1863" s="4">
        <v>435.37657000000002</v>
      </c>
      <c r="E1863" s="4">
        <v>357.99006000000003</v>
      </c>
      <c r="F1863" s="4">
        <v>5.9678500000000003</v>
      </c>
    </row>
    <row r="1864" spans="1:6" x14ac:dyDescent="0.35">
      <c r="A1864" s="2" t="s">
        <v>2461</v>
      </c>
      <c r="B1864" s="6" t="e">
        <v>#N/A</v>
      </c>
      <c r="C1864" s="2" t="e">
        <v>#N/A</v>
      </c>
      <c r="D1864" s="4">
        <v>10.167920000000001</v>
      </c>
      <c r="E1864" s="4">
        <v>3.4997799999999999</v>
      </c>
      <c r="F1864" s="4">
        <v>4.931E-2</v>
      </c>
    </row>
    <row r="1865" spans="1:6" x14ac:dyDescent="0.35">
      <c r="A1865" s="2" t="s">
        <v>2462</v>
      </c>
      <c r="B1865" s="6" t="e">
        <v>#N/A</v>
      </c>
      <c r="C1865" s="2" t="e">
        <v>#N/A</v>
      </c>
      <c r="D1865" s="4">
        <v>13.26083</v>
      </c>
      <c r="E1865" s="4">
        <v>6.7965900000000001</v>
      </c>
      <c r="F1865" s="4">
        <v>6.9709999999999994E-2</v>
      </c>
    </row>
    <row r="1866" spans="1:6" x14ac:dyDescent="0.35">
      <c r="A1866" s="2" t="s">
        <v>2463</v>
      </c>
      <c r="B1866" s="6" t="e">
        <v>#N/A</v>
      </c>
      <c r="C1866" s="2" t="e">
        <v>#N/A</v>
      </c>
      <c r="D1866" s="4">
        <v>24.25272</v>
      </c>
      <c r="E1866" s="4">
        <v>17.275510000000001</v>
      </c>
      <c r="F1866" s="4">
        <v>0.29244999999999999</v>
      </c>
    </row>
    <row r="1867" spans="1:6" x14ac:dyDescent="0.35">
      <c r="A1867" s="2" t="s">
        <v>2464</v>
      </c>
      <c r="B1867" s="6" t="e">
        <v>#N/A</v>
      </c>
      <c r="C1867" s="2" t="e">
        <v>#N/A</v>
      </c>
      <c r="D1867" s="4">
        <v>14.47443</v>
      </c>
      <c r="E1867" s="4">
        <v>7.8787099999999999</v>
      </c>
      <c r="F1867" s="4">
        <v>0.13525999999999999</v>
      </c>
    </row>
    <row r="1868" spans="1:6" x14ac:dyDescent="0.35">
      <c r="A1868" s="2" t="s">
        <v>2465</v>
      </c>
      <c r="B1868" s="6" t="e">
        <v>#N/A</v>
      </c>
      <c r="C1868" s="2" t="e">
        <v>#N/A</v>
      </c>
      <c r="D1868" s="4">
        <v>19.68694</v>
      </c>
      <c r="E1868" s="4">
        <v>9.3765999999999998</v>
      </c>
      <c r="F1868" s="4">
        <v>0.14885000000000001</v>
      </c>
    </row>
    <row r="1869" spans="1:6" x14ac:dyDescent="0.35">
      <c r="A1869" s="2" t="s">
        <v>2466</v>
      </c>
      <c r="B1869" s="6" t="e">
        <v>#N/A</v>
      </c>
      <c r="C1869" s="2" t="e">
        <v>#N/A</v>
      </c>
      <c r="D1869" s="4">
        <v>20.549430000000001</v>
      </c>
      <c r="E1869" s="4">
        <v>10.239089999999999</v>
      </c>
      <c r="F1869" s="4">
        <v>0.14885000000000001</v>
      </c>
    </row>
    <row r="1870" spans="1:6" x14ac:dyDescent="0.35">
      <c r="A1870" s="2" t="s">
        <v>2467</v>
      </c>
      <c r="B1870" s="6" t="e">
        <v>#N/A</v>
      </c>
      <c r="C1870" s="2" t="e">
        <v>#N/A</v>
      </c>
      <c r="D1870" s="4">
        <v>54.983620000000002</v>
      </c>
      <c r="E1870" s="4">
        <v>40.836390000000002</v>
      </c>
      <c r="F1870" s="4">
        <v>0.59043000000000001</v>
      </c>
    </row>
    <row r="1871" spans="1:6" x14ac:dyDescent="0.35">
      <c r="A1871" s="2" t="s">
        <v>2468</v>
      </c>
      <c r="B1871" s="6" t="e">
        <v>#N/A</v>
      </c>
      <c r="C1871" s="2" t="e">
        <v>#N/A</v>
      </c>
      <c r="D1871" s="4">
        <v>17.02636</v>
      </c>
      <c r="E1871" s="4">
        <v>6.8513999999999999</v>
      </c>
      <c r="F1871" s="4">
        <v>7.9399999999999998E-2</v>
      </c>
    </row>
    <row r="1872" spans="1:6" x14ac:dyDescent="0.35">
      <c r="A1872" s="2" t="s">
        <v>2469</v>
      </c>
      <c r="B1872" s="6" t="e">
        <v>#N/A</v>
      </c>
      <c r="C1872" s="2" t="e">
        <v>#N/A</v>
      </c>
      <c r="D1872" s="4">
        <v>21.830819999999999</v>
      </c>
      <c r="E1872" s="4">
        <v>11.47465</v>
      </c>
      <c r="F1872" s="4">
        <v>0.19467999999999999</v>
      </c>
    </row>
    <row r="1873" spans="1:6" x14ac:dyDescent="0.35">
      <c r="A1873" s="2" t="s">
        <v>2470</v>
      </c>
      <c r="B1873" s="6" t="e">
        <v>#N/A</v>
      </c>
      <c r="C1873" s="2" t="e">
        <v>#N/A</v>
      </c>
      <c r="D1873" s="4">
        <v>15.293150000000001</v>
      </c>
      <c r="E1873" s="4">
        <v>5.1166900000000002</v>
      </c>
      <c r="F1873" s="4">
        <v>8.09E-2</v>
      </c>
    </row>
    <row r="1874" spans="1:6" x14ac:dyDescent="0.35">
      <c r="A1874" s="2" t="s">
        <v>2471</v>
      </c>
      <c r="B1874" s="6" t="e">
        <v>#N/A</v>
      </c>
      <c r="C1874" s="2" t="e">
        <v>#N/A</v>
      </c>
      <c r="D1874" s="4">
        <v>15.293150000000001</v>
      </c>
      <c r="E1874" s="4">
        <v>5.1166900000000002</v>
      </c>
      <c r="F1874" s="4">
        <v>8.09E-2</v>
      </c>
    </row>
    <row r="1875" spans="1:6" x14ac:dyDescent="0.35">
      <c r="A1875" s="2" t="s">
        <v>2472</v>
      </c>
      <c r="B1875" s="6" t="e">
        <v>#N/A</v>
      </c>
      <c r="C1875" s="2" t="e">
        <v>#N/A</v>
      </c>
      <c r="D1875" s="4">
        <v>14.636559999999999</v>
      </c>
      <c r="E1875" s="4">
        <v>7.8542699999999996</v>
      </c>
      <c r="F1875" s="4">
        <v>9.7530000000000006E-2</v>
      </c>
    </row>
    <row r="1876" spans="1:6" x14ac:dyDescent="0.35">
      <c r="A1876" s="2" t="s">
        <v>2473</v>
      </c>
      <c r="B1876" s="6" t="e">
        <v>#N/A</v>
      </c>
      <c r="C1876" s="2" t="e">
        <v>#N/A</v>
      </c>
      <c r="D1876" s="4">
        <v>41.669150000000002</v>
      </c>
      <c r="E1876" s="4">
        <v>26.528890000000001</v>
      </c>
      <c r="F1876" s="4">
        <v>0.35177999999999998</v>
      </c>
    </row>
    <row r="1877" spans="1:6" x14ac:dyDescent="0.35">
      <c r="A1877" s="2" t="s">
        <v>2474</v>
      </c>
      <c r="B1877" s="6" t="e">
        <v>#N/A</v>
      </c>
      <c r="C1877" s="2" t="e">
        <v>#N/A</v>
      </c>
      <c r="D1877" s="4">
        <v>18.552199999999999</v>
      </c>
      <c r="E1877" s="4">
        <v>11.70811</v>
      </c>
      <c r="F1877" s="4">
        <v>0.15933</v>
      </c>
    </row>
    <row r="1878" spans="1:6" x14ac:dyDescent="0.35">
      <c r="A1878" s="2" t="s">
        <v>2475</v>
      </c>
      <c r="B1878" s="6" t="e">
        <v>#N/A</v>
      </c>
      <c r="C1878" s="2" t="e">
        <v>#N/A</v>
      </c>
      <c r="D1878" s="4">
        <v>62.088180000000001</v>
      </c>
      <c r="E1878" s="4">
        <v>46.693359999999998</v>
      </c>
      <c r="F1878" s="4">
        <v>0.60633999999999999</v>
      </c>
    </row>
    <row r="1879" spans="1:6" x14ac:dyDescent="0.35">
      <c r="A1879" s="2" t="s">
        <v>2476</v>
      </c>
      <c r="B1879" s="6" t="e">
        <v>#N/A</v>
      </c>
      <c r="C1879" s="2" t="e">
        <v>#N/A</v>
      </c>
      <c r="D1879" s="4">
        <v>170.92930000000001</v>
      </c>
      <c r="E1879" s="4">
        <v>95.339089999999999</v>
      </c>
      <c r="F1879" s="4">
        <v>0.99719000000000002</v>
      </c>
    </row>
    <row r="1880" spans="1:6" x14ac:dyDescent="0.35">
      <c r="A1880" s="2" t="s">
        <v>2477</v>
      </c>
      <c r="B1880" s="6" t="s">
        <v>2117</v>
      </c>
      <c r="C1880" s="2" t="s">
        <v>461</v>
      </c>
      <c r="D1880" s="4">
        <v>19.40888</v>
      </c>
      <c r="E1880" s="4">
        <v>12.5009</v>
      </c>
      <c r="F1880" s="4">
        <v>0.22322</v>
      </c>
    </row>
    <row r="1881" spans="1:6" x14ac:dyDescent="0.35">
      <c r="A1881" s="2" t="s">
        <v>2478</v>
      </c>
      <c r="B1881" s="6" t="e">
        <v>#N/A</v>
      </c>
      <c r="C1881" s="2" t="e">
        <v>#N/A</v>
      </c>
      <c r="D1881" s="4">
        <v>226.63848999999999</v>
      </c>
      <c r="E1881" s="4">
        <v>150.44295</v>
      </c>
      <c r="F1881" s="4">
        <v>1.6025199999999999</v>
      </c>
    </row>
    <row r="1882" spans="1:6" x14ac:dyDescent="0.35">
      <c r="A1882" s="2" t="s">
        <v>2479</v>
      </c>
      <c r="B1882" s="6" t="e">
        <v>#N/A</v>
      </c>
      <c r="C1882" s="2" t="e">
        <v>#N/A</v>
      </c>
      <c r="D1882" s="4">
        <v>14.529249999999999</v>
      </c>
      <c r="E1882" s="4">
        <v>7.7587999999999999</v>
      </c>
      <c r="F1882" s="4">
        <v>8.5690000000000002E-2</v>
      </c>
    </row>
    <row r="1883" spans="1:6" x14ac:dyDescent="0.35">
      <c r="A1883" s="2" t="s">
        <v>2480</v>
      </c>
      <c r="B1883" s="6" t="e">
        <v>#N/A</v>
      </c>
      <c r="C1883" s="2" t="e">
        <v>#N/A</v>
      </c>
      <c r="D1883" s="4">
        <v>16.354669999999999</v>
      </c>
      <c r="E1883" s="4">
        <v>7.7587999999999999</v>
      </c>
      <c r="F1883" s="4">
        <v>8.5690000000000002E-2</v>
      </c>
    </row>
    <row r="1884" spans="1:6" x14ac:dyDescent="0.35">
      <c r="A1884" s="2" t="s">
        <v>2481</v>
      </c>
      <c r="B1884" s="6" t="e">
        <v>#N/A</v>
      </c>
      <c r="C1884" s="2" t="e">
        <v>#N/A</v>
      </c>
      <c r="D1884" s="4">
        <v>16.54382</v>
      </c>
      <c r="E1884" s="4">
        <v>7.9479499999999996</v>
      </c>
      <c r="F1884" s="4">
        <v>8.5690000000000002E-2</v>
      </c>
    </row>
    <row r="1885" spans="1:6" x14ac:dyDescent="0.35">
      <c r="A1885" s="2" t="s">
        <v>2482</v>
      </c>
      <c r="B1885" s="6" t="e">
        <v>#N/A</v>
      </c>
      <c r="C1885" s="2" t="e">
        <v>#N/A</v>
      </c>
      <c r="D1885" s="4">
        <v>14.529249999999999</v>
      </c>
      <c r="E1885" s="4">
        <v>7.7587999999999999</v>
      </c>
      <c r="F1885" s="4">
        <v>8.5690000000000002E-2</v>
      </c>
    </row>
    <row r="1886" spans="1:6" x14ac:dyDescent="0.35">
      <c r="A1886" s="2" t="s">
        <v>2483</v>
      </c>
      <c r="B1886" s="6" t="e">
        <v>#N/A</v>
      </c>
      <c r="C1886" s="2" t="e">
        <v>#N/A</v>
      </c>
      <c r="D1886" s="4">
        <v>14.529249999999999</v>
      </c>
      <c r="E1886" s="4">
        <v>7.7587999999999999</v>
      </c>
      <c r="F1886" s="4">
        <v>8.5690000000000002E-2</v>
      </c>
    </row>
    <row r="1887" spans="1:6" x14ac:dyDescent="0.35">
      <c r="A1887" s="2" t="s">
        <v>2484</v>
      </c>
      <c r="B1887" s="6" t="e">
        <v>#N/A</v>
      </c>
      <c r="C1887" s="2" t="e">
        <v>#N/A</v>
      </c>
      <c r="D1887" s="4">
        <v>14.636559999999999</v>
      </c>
      <c r="E1887" s="4">
        <v>7.8542699999999996</v>
      </c>
      <c r="F1887" s="4">
        <v>9.7530000000000006E-2</v>
      </c>
    </row>
    <row r="1888" spans="1:6" x14ac:dyDescent="0.35">
      <c r="A1888" s="2" t="s">
        <v>2485</v>
      </c>
      <c r="B1888" s="6" t="e">
        <v>#N/A</v>
      </c>
      <c r="C1888" s="2" t="e">
        <v>#N/A</v>
      </c>
      <c r="D1888" s="4">
        <v>41.669150000000002</v>
      </c>
      <c r="E1888" s="4">
        <v>26.528890000000001</v>
      </c>
      <c r="F1888" s="4">
        <v>0.35177999999999998</v>
      </c>
    </row>
    <row r="1889" spans="1:6" x14ac:dyDescent="0.35">
      <c r="A1889" s="2" t="s">
        <v>2486</v>
      </c>
      <c r="B1889" s="6" t="e">
        <v>#N/A</v>
      </c>
      <c r="C1889" s="2" t="e">
        <v>#N/A</v>
      </c>
      <c r="D1889" s="4">
        <v>41.669150000000002</v>
      </c>
      <c r="E1889" s="4">
        <v>26.528890000000001</v>
      </c>
      <c r="F1889" s="4">
        <v>0.35177999999999998</v>
      </c>
    </row>
    <row r="1890" spans="1:6" x14ac:dyDescent="0.35">
      <c r="A1890" s="2" t="s">
        <v>2487</v>
      </c>
      <c r="B1890" s="6" t="e">
        <v>#N/A</v>
      </c>
      <c r="C1890" s="2" t="e">
        <v>#N/A</v>
      </c>
      <c r="D1890" s="4">
        <v>43.494570000000003</v>
      </c>
      <c r="E1890" s="4">
        <v>26.528890000000001</v>
      </c>
      <c r="F1890" s="4">
        <v>0.35177999999999998</v>
      </c>
    </row>
    <row r="1891" spans="1:6" x14ac:dyDescent="0.35">
      <c r="A1891" s="2" t="s">
        <v>2488</v>
      </c>
      <c r="B1891" s="6" t="e">
        <v>#N/A</v>
      </c>
      <c r="C1891" s="2" t="e">
        <v>#N/A</v>
      </c>
      <c r="D1891" s="4">
        <v>43.494570000000003</v>
      </c>
      <c r="E1891" s="4">
        <v>26.528890000000001</v>
      </c>
      <c r="F1891" s="4">
        <v>0.35177999999999998</v>
      </c>
    </row>
    <row r="1892" spans="1:6" x14ac:dyDescent="0.35">
      <c r="A1892" s="2" t="s">
        <v>2489</v>
      </c>
      <c r="B1892" s="6" t="e">
        <v>#N/A</v>
      </c>
      <c r="C1892" s="2" t="e">
        <v>#N/A</v>
      </c>
      <c r="D1892" s="4">
        <v>41.669150000000002</v>
      </c>
      <c r="E1892" s="4">
        <v>26.528890000000001</v>
      </c>
      <c r="F1892" s="4">
        <v>0.35177999999999998</v>
      </c>
    </row>
    <row r="1893" spans="1:6" x14ac:dyDescent="0.35">
      <c r="A1893" s="2" t="s">
        <v>2490</v>
      </c>
      <c r="B1893" s="6" t="e">
        <v>#N/A</v>
      </c>
      <c r="C1893" s="2" t="e">
        <v>#N/A</v>
      </c>
      <c r="D1893" s="4">
        <v>18.411539999999999</v>
      </c>
      <c r="E1893" s="4">
        <v>11.58639</v>
      </c>
      <c r="F1893" s="4">
        <v>0.14038999999999999</v>
      </c>
    </row>
    <row r="1894" spans="1:6" x14ac:dyDescent="0.35">
      <c r="A1894" s="2" t="s">
        <v>2491</v>
      </c>
      <c r="B1894" s="6" t="e">
        <v>#N/A</v>
      </c>
      <c r="C1894" s="2" t="e">
        <v>#N/A</v>
      </c>
      <c r="D1894" s="4">
        <v>18.411539999999999</v>
      </c>
      <c r="E1894" s="4">
        <v>11.58639</v>
      </c>
      <c r="F1894" s="4">
        <v>0.14038999999999999</v>
      </c>
    </row>
    <row r="1895" spans="1:6" x14ac:dyDescent="0.35">
      <c r="A1895" s="2" t="s">
        <v>2492</v>
      </c>
      <c r="B1895" s="6" t="e">
        <v>#N/A</v>
      </c>
      <c r="C1895" s="2" t="e">
        <v>#N/A</v>
      </c>
      <c r="D1895" s="4">
        <v>18.411539999999999</v>
      </c>
      <c r="E1895" s="4">
        <v>11.58639</v>
      </c>
      <c r="F1895" s="4">
        <v>0.14038999999999999</v>
      </c>
    </row>
    <row r="1896" spans="1:6" x14ac:dyDescent="0.35">
      <c r="A1896" s="2" t="s">
        <v>2493</v>
      </c>
      <c r="B1896" s="6" t="e">
        <v>#N/A</v>
      </c>
      <c r="C1896" s="2" t="e">
        <v>#N/A</v>
      </c>
      <c r="D1896" s="4">
        <v>18.552199999999999</v>
      </c>
      <c r="E1896" s="4">
        <v>11.70811</v>
      </c>
      <c r="F1896" s="4">
        <v>0.15933</v>
      </c>
    </row>
    <row r="1897" spans="1:6" x14ac:dyDescent="0.35">
      <c r="A1897" s="2" t="s">
        <v>2494</v>
      </c>
      <c r="B1897" s="6" t="e">
        <v>#N/A</v>
      </c>
      <c r="C1897" s="2" t="e">
        <v>#N/A</v>
      </c>
      <c r="D1897" s="4">
        <v>18.880590000000002</v>
      </c>
      <c r="E1897" s="4">
        <v>12.055440000000001</v>
      </c>
      <c r="F1897" s="4">
        <v>0.14038999999999999</v>
      </c>
    </row>
    <row r="1898" spans="1:6" x14ac:dyDescent="0.35">
      <c r="A1898" s="2" t="s">
        <v>2495</v>
      </c>
      <c r="B1898" s="6" t="e">
        <v>#N/A</v>
      </c>
      <c r="C1898" s="2" t="e">
        <v>#N/A</v>
      </c>
      <c r="D1898" s="4">
        <v>62.088180000000001</v>
      </c>
      <c r="E1898" s="4">
        <v>46.693359999999998</v>
      </c>
      <c r="F1898" s="4">
        <v>0.60633999999999999</v>
      </c>
    </row>
    <row r="1899" spans="1:6" x14ac:dyDescent="0.35">
      <c r="A1899" s="2" t="s">
        <v>2496</v>
      </c>
      <c r="B1899" s="6" t="e">
        <v>#N/A</v>
      </c>
      <c r="C1899" s="2" t="e">
        <v>#N/A</v>
      </c>
      <c r="D1899" s="4">
        <v>62.088180000000001</v>
      </c>
      <c r="E1899" s="4">
        <v>46.693359999999998</v>
      </c>
      <c r="F1899" s="4">
        <v>0.60633999999999999</v>
      </c>
    </row>
    <row r="1900" spans="1:6" x14ac:dyDescent="0.35">
      <c r="A1900" s="2" t="s">
        <v>2497</v>
      </c>
      <c r="B1900" s="6" t="e">
        <v>#N/A</v>
      </c>
      <c r="C1900" s="2" t="e">
        <v>#N/A</v>
      </c>
      <c r="D1900" s="4">
        <v>62.088180000000001</v>
      </c>
      <c r="E1900" s="4">
        <v>46.693359999999998</v>
      </c>
      <c r="F1900" s="4">
        <v>0.60633999999999999</v>
      </c>
    </row>
    <row r="1901" spans="1:6" x14ac:dyDescent="0.35">
      <c r="A1901" s="2" t="s">
        <v>2498</v>
      </c>
      <c r="B1901" s="6" t="e">
        <v>#N/A</v>
      </c>
      <c r="C1901" s="2" t="e">
        <v>#N/A</v>
      </c>
      <c r="D1901" s="4">
        <v>170.92930000000001</v>
      </c>
      <c r="E1901" s="4">
        <v>95.339089999999999</v>
      </c>
      <c r="F1901" s="4">
        <v>0.99719000000000002</v>
      </c>
    </row>
    <row r="1902" spans="1:6" x14ac:dyDescent="0.35">
      <c r="A1902" s="2" t="s">
        <v>2499</v>
      </c>
      <c r="B1902" s="6" t="e">
        <v>#N/A</v>
      </c>
      <c r="C1902" s="2" t="e">
        <v>#N/A</v>
      </c>
      <c r="D1902" s="4">
        <v>170.92930000000001</v>
      </c>
      <c r="E1902" s="4">
        <v>95.339089999999999</v>
      </c>
      <c r="F1902" s="4">
        <v>0.99719000000000002</v>
      </c>
    </row>
    <row r="1903" spans="1:6" x14ac:dyDescent="0.35">
      <c r="A1903" s="2" t="s">
        <v>2500</v>
      </c>
      <c r="B1903" s="6" t="e">
        <v>#N/A</v>
      </c>
      <c r="C1903" s="2" t="e">
        <v>#N/A</v>
      </c>
      <c r="D1903" s="4">
        <v>19.209679999999999</v>
      </c>
      <c r="E1903" s="4">
        <v>12.325379999999999</v>
      </c>
      <c r="F1903" s="4">
        <v>0.19954</v>
      </c>
    </row>
    <row r="1904" spans="1:6" x14ac:dyDescent="0.35">
      <c r="A1904" s="2" t="s">
        <v>2501</v>
      </c>
      <c r="B1904" s="6" t="e">
        <v>#N/A</v>
      </c>
      <c r="C1904" s="2" t="e">
        <v>#N/A</v>
      </c>
      <c r="D1904" s="4">
        <v>19.209679999999999</v>
      </c>
      <c r="E1904" s="4">
        <v>12.325379999999999</v>
      </c>
      <c r="F1904" s="4">
        <v>0.19954</v>
      </c>
    </row>
    <row r="1905" spans="1:6" x14ac:dyDescent="0.35">
      <c r="A1905" s="2" t="s">
        <v>2502</v>
      </c>
      <c r="B1905" s="6" t="e">
        <v>#N/A</v>
      </c>
      <c r="C1905" s="2" t="e">
        <v>#N/A</v>
      </c>
      <c r="D1905" s="4">
        <v>226.60174000000001</v>
      </c>
      <c r="E1905" s="4">
        <v>150.41221999999999</v>
      </c>
      <c r="F1905" s="4">
        <v>1.5965</v>
      </c>
    </row>
    <row r="1906" spans="1:6" x14ac:dyDescent="0.35">
      <c r="A1906" s="2" t="s">
        <v>2503</v>
      </c>
      <c r="B1906" s="6" t="e">
        <v>#N/A</v>
      </c>
      <c r="C1906" s="2" t="e">
        <v>#N/A</v>
      </c>
      <c r="D1906" s="4">
        <v>226.60174000000001</v>
      </c>
      <c r="E1906" s="4">
        <v>150.41221999999999</v>
      </c>
      <c r="F1906" s="4">
        <v>1.5965</v>
      </c>
    </row>
    <row r="1907" spans="1:6" x14ac:dyDescent="0.35">
      <c r="A1907" s="2" t="s">
        <v>2504</v>
      </c>
      <c r="B1907" s="6" t="e">
        <v>#N/A</v>
      </c>
      <c r="C1907" s="2" t="e">
        <v>#N/A</v>
      </c>
      <c r="D1907" s="4">
        <v>17.755099999999999</v>
      </c>
      <c r="E1907" s="4">
        <v>10.894600000000001</v>
      </c>
      <c r="F1907" s="4">
        <v>0.17574000000000001</v>
      </c>
    </row>
    <row r="1908" spans="1:6" x14ac:dyDescent="0.35">
      <c r="A1908" s="2" t="s">
        <v>2505</v>
      </c>
      <c r="B1908" s="6" t="e">
        <v>#N/A</v>
      </c>
      <c r="C1908" s="2" t="e">
        <v>#N/A</v>
      </c>
      <c r="D1908" s="4">
        <v>27.586310000000001</v>
      </c>
      <c r="E1908" s="4">
        <v>20.546309999999998</v>
      </c>
      <c r="F1908" s="4">
        <v>0.35524</v>
      </c>
    </row>
    <row r="1909" spans="1:6" x14ac:dyDescent="0.35">
      <c r="A1909" s="2" t="s">
        <v>2506</v>
      </c>
      <c r="B1909" s="6" t="e">
        <v>#N/A</v>
      </c>
      <c r="C1909" s="2" t="e">
        <v>#N/A</v>
      </c>
      <c r="D1909" s="4">
        <v>58.650410000000001</v>
      </c>
      <c r="E1909" s="4">
        <v>43.174709999999997</v>
      </c>
      <c r="F1909" s="4">
        <v>0.68722000000000005</v>
      </c>
    </row>
    <row r="1910" spans="1:6" x14ac:dyDescent="0.35">
      <c r="A1910" s="2" t="s">
        <v>2507</v>
      </c>
      <c r="B1910" s="6" t="e">
        <v>#N/A</v>
      </c>
      <c r="C1910" s="2" t="e">
        <v>#N/A</v>
      </c>
      <c r="D1910" s="4">
        <v>18.337579999999999</v>
      </c>
      <c r="E1910" s="4">
        <v>7.8542699999999996</v>
      </c>
      <c r="F1910" s="4">
        <v>9.7530000000000006E-2</v>
      </c>
    </row>
    <row r="1911" spans="1:6" x14ac:dyDescent="0.35">
      <c r="A1911" s="2" t="s">
        <v>2508</v>
      </c>
      <c r="B1911" s="6" t="e">
        <v>#N/A</v>
      </c>
      <c r="C1911" s="2" t="e">
        <v>#N/A</v>
      </c>
      <c r="D1911" s="4">
        <v>22.66508</v>
      </c>
      <c r="E1911" s="4">
        <v>12.11997</v>
      </c>
      <c r="F1911" s="4">
        <v>0.15933</v>
      </c>
    </row>
    <row r="1912" spans="1:6" x14ac:dyDescent="0.35">
      <c r="A1912" s="2" t="s">
        <v>2509</v>
      </c>
      <c r="B1912" s="6" t="e">
        <v>#N/A</v>
      </c>
      <c r="C1912" s="2" t="e">
        <v>#N/A</v>
      </c>
      <c r="D1912" s="4">
        <v>18.642130000000002</v>
      </c>
      <c r="E1912" s="4">
        <v>8.1706599999999998</v>
      </c>
      <c r="F1912" s="4">
        <v>8.5690000000000002E-2</v>
      </c>
    </row>
    <row r="1913" spans="1:6" x14ac:dyDescent="0.35">
      <c r="A1913" s="2" t="s">
        <v>2510</v>
      </c>
      <c r="B1913" s="6" t="e">
        <v>#N/A</v>
      </c>
      <c r="C1913" s="2" t="e">
        <v>#N/A</v>
      </c>
      <c r="D1913" s="4">
        <v>46.560450000000003</v>
      </c>
      <c r="E1913" s="4">
        <v>27.719169999999998</v>
      </c>
      <c r="F1913" s="4">
        <v>0.35177999999999998</v>
      </c>
    </row>
    <row r="1914" spans="1:6" x14ac:dyDescent="0.35">
      <c r="A1914" s="2" t="s">
        <v>2511</v>
      </c>
      <c r="B1914" s="6" t="e">
        <v>#N/A</v>
      </c>
      <c r="C1914" s="2" t="e">
        <v>#N/A</v>
      </c>
      <c r="D1914" s="4">
        <v>22.524419999999999</v>
      </c>
      <c r="E1914" s="4">
        <v>11.998250000000001</v>
      </c>
      <c r="F1914" s="4">
        <v>0.14038999999999999</v>
      </c>
    </row>
    <row r="1915" spans="1:6" x14ac:dyDescent="0.35">
      <c r="A1915" s="2" t="s">
        <v>2512</v>
      </c>
      <c r="B1915" s="6" t="e">
        <v>#N/A</v>
      </c>
      <c r="C1915" s="2" t="e">
        <v>#N/A</v>
      </c>
      <c r="D1915" s="4">
        <v>66.73648</v>
      </c>
      <c r="E1915" s="4">
        <v>47.640639999999998</v>
      </c>
      <c r="F1915" s="4">
        <v>0.60633999999999999</v>
      </c>
    </row>
    <row r="1916" spans="1:6" x14ac:dyDescent="0.35">
      <c r="A1916" s="2" t="s">
        <v>2513</v>
      </c>
      <c r="B1916" s="6" t="e">
        <v>#N/A</v>
      </c>
      <c r="C1916" s="2" t="e">
        <v>#N/A</v>
      </c>
      <c r="D1916" s="4">
        <v>23.606750000000002</v>
      </c>
      <c r="E1916" s="4">
        <v>13.021430000000001</v>
      </c>
      <c r="F1916" s="4">
        <v>0.19954</v>
      </c>
    </row>
    <row r="1917" spans="1:6" x14ac:dyDescent="0.35">
      <c r="A1917" s="2" t="s">
        <v>2514</v>
      </c>
      <c r="B1917" s="6" t="e">
        <v>#N/A</v>
      </c>
      <c r="C1917" s="2" t="e">
        <v>#N/A</v>
      </c>
      <c r="D1917" s="4">
        <v>46.355840000000001</v>
      </c>
      <c r="E1917" s="4">
        <v>31.136659999999999</v>
      </c>
      <c r="F1917" s="4">
        <v>0.43070000000000003</v>
      </c>
    </row>
    <row r="1918" spans="1:6" x14ac:dyDescent="0.35">
      <c r="A1918" s="2" t="s">
        <v>2515</v>
      </c>
      <c r="B1918" s="6" t="e">
        <v>#N/A</v>
      </c>
      <c r="C1918" s="2" t="e">
        <v>#N/A</v>
      </c>
      <c r="D1918" s="4">
        <v>46.355840000000001</v>
      </c>
      <c r="E1918" s="4">
        <v>31.136659999999999</v>
      </c>
      <c r="F1918" s="4">
        <v>0.43070000000000003</v>
      </c>
    </row>
    <row r="1919" spans="1:6" x14ac:dyDescent="0.35">
      <c r="A1919" s="2" t="s">
        <v>2516</v>
      </c>
      <c r="B1919" s="6" t="e">
        <v>#N/A</v>
      </c>
      <c r="C1919" s="2" t="e">
        <v>#N/A</v>
      </c>
      <c r="D1919" s="4">
        <v>49.734929999999999</v>
      </c>
      <c r="E1919" s="4">
        <v>32.732430000000001</v>
      </c>
      <c r="F1919" s="4">
        <v>0.3886</v>
      </c>
    </row>
    <row r="1920" spans="1:6" x14ac:dyDescent="0.35">
      <c r="A1920" s="2" t="s">
        <v>2517</v>
      </c>
      <c r="B1920" s="6" t="e">
        <v>#N/A</v>
      </c>
      <c r="C1920" s="2" t="e">
        <v>#N/A</v>
      </c>
      <c r="D1920" s="4">
        <v>53.968020000000003</v>
      </c>
      <c r="E1920" s="4">
        <v>32.732430000000001</v>
      </c>
      <c r="F1920" s="4">
        <v>0.3886</v>
      </c>
    </row>
    <row r="1921" spans="1:6" x14ac:dyDescent="0.35">
      <c r="A1921" s="2" t="s">
        <v>2518</v>
      </c>
      <c r="B1921" s="6" t="e">
        <v>#N/A</v>
      </c>
      <c r="C1921" s="2" t="e">
        <v>#N/A</v>
      </c>
      <c r="D1921" s="4">
        <v>49.734929999999999</v>
      </c>
      <c r="E1921" s="4">
        <v>32.732430000000001</v>
      </c>
      <c r="F1921" s="4">
        <v>0.3886</v>
      </c>
    </row>
    <row r="1922" spans="1:6" x14ac:dyDescent="0.35">
      <c r="A1922" s="2" t="s">
        <v>2519</v>
      </c>
      <c r="B1922" s="6" t="e">
        <v>#N/A</v>
      </c>
      <c r="C1922" s="2" t="e">
        <v>#N/A</v>
      </c>
      <c r="D1922" s="4">
        <v>33.572620000000001</v>
      </c>
      <c r="E1922" s="4">
        <v>19.068210000000001</v>
      </c>
      <c r="F1922" s="4">
        <v>0.28885</v>
      </c>
    </row>
    <row r="1923" spans="1:6" x14ac:dyDescent="0.35">
      <c r="A1923" s="2" t="s">
        <v>2520</v>
      </c>
      <c r="B1923" s="6" t="e">
        <v>#N/A</v>
      </c>
      <c r="C1923" s="2" t="e">
        <v>#N/A</v>
      </c>
      <c r="D1923" s="4">
        <v>34.749200000000002</v>
      </c>
      <c r="E1923" s="4">
        <v>19.23433</v>
      </c>
      <c r="F1923" s="4">
        <v>0.32140999999999997</v>
      </c>
    </row>
    <row r="1924" spans="1:6" x14ac:dyDescent="0.35">
      <c r="A1924" s="2" t="s">
        <v>2521</v>
      </c>
      <c r="B1924" s="6" t="e">
        <v>#N/A</v>
      </c>
      <c r="C1924" s="2" t="e">
        <v>#N/A</v>
      </c>
      <c r="D1924" s="4">
        <v>11.943580000000001</v>
      </c>
      <c r="E1924" s="4">
        <v>4.9791400000000001</v>
      </c>
      <c r="F1924" s="4">
        <v>9.9199999999999997E-2</v>
      </c>
    </row>
    <row r="1925" spans="1:6" x14ac:dyDescent="0.35">
      <c r="A1925" s="2" t="s">
        <v>2522</v>
      </c>
      <c r="B1925" s="6" t="e">
        <v>#N/A</v>
      </c>
      <c r="C1925" s="2" t="e">
        <v>#N/A</v>
      </c>
      <c r="D1925" s="4">
        <v>35.367069999999998</v>
      </c>
      <c r="E1925" s="4">
        <v>23.344439999999999</v>
      </c>
      <c r="F1925" s="4">
        <v>0.40851999999999999</v>
      </c>
    </row>
    <row r="1926" spans="1:6" x14ac:dyDescent="0.35">
      <c r="A1926" s="2" t="s">
        <v>2523</v>
      </c>
      <c r="B1926" s="6" t="e">
        <v>#N/A</v>
      </c>
      <c r="C1926" s="2" t="e">
        <v>#N/A</v>
      </c>
      <c r="D1926" s="4">
        <v>43.561050000000002</v>
      </c>
      <c r="E1926" s="4">
        <v>26.562750000000001</v>
      </c>
      <c r="F1926" s="4">
        <v>0.45147999999999999</v>
      </c>
    </row>
    <row r="1927" spans="1:6" x14ac:dyDescent="0.35">
      <c r="A1927" s="2" t="s">
        <v>2524</v>
      </c>
      <c r="B1927" s="6" t="e">
        <v>#N/A</v>
      </c>
      <c r="C1927" s="2" t="e">
        <v>#N/A</v>
      </c>
      <c r="D1927" s="4">
        <v>19.434560000000001</v>
      </c>
      <c r="E1927" s="4">
        <v>11.03952</v>
      </c>
      <c r="F1927" s="4">
        <v>0.17626</v>
      </c>
    </row>
    <row r="1928" spans="1:6" x14ac:dyDescent="0.35">
      <c r="A1928" s="2" t="s">
        <v>2525</v>
      </c>
      <c r="B1928" s="6" t="e">
        <v>#N/A</v>
      </c>
      <c r="C1928" s="2" t="e">
        <v>#N/A</v>
      </c>
      <c r="D1928" s="4">
        <v>76.600909999999999</v>
      </c>
      <c r="E1928" s="4">
        <v>59.161340000000003</v>
      </c>
      <c r="F1928" s="4">
        <v>0.89275000000000004</v>
      </c>
    </row>
    <row r="1929" spans="1:6" x14ac:dyDescent="0.35">
      <c r="A1929" s="2" t="s">
        <v>2526</v>
      </c>
      <c r="B1929" s="6" t="e">
        <v>#N/A</v>
      </c>
      <c r="C1929" s="2" t="e">
        <v>#N/A</v>
      </c>
      <c r="D1929" s="4">
        <v>20.40474</v>
      </c>
      <c r="E1929" s="4">
        <v>11.92338</v>
      </c>
      <c r="F1929" s="4">
        <v>0.26257999999999998</v>
      </c>
    </row>
    <row r="1930" spans="1:6" x14ac:dyDescent="0.35">
      <c r="A1930" s="2" t="s">
        <v>2527</v>
      </c>
      <c r="B1930" s="6" t="e">
        <v>#N/A</v>
      </c>
      <c r="C1930" s="2" t="e">
        <v>#N/A</v>
      </c>
      <c r="D1930" s="4">
        <v>11.80518</v>
      </c>
      <c r="E1930" s="4">
        <v>4.8561300000000003</v>
      </c>
      <c r="F1930" s="4">
        <v>8.3809999999999996E-2</v>
      </c>
    </row>
    <row r="1931" spans="1:6" x14ac:dyDescent="0.35">
      <c r="A1931" s="2" t="s">
        <v>2528</v>
      </c>
      <c r="B1931" s="6" t="e">
        <v>#N/A</v>
      </c>
      <c r="C1931" s="2" t="e">
        <v>#N/A</v>
      </c>
      <c r="D1931" s="4">
        <v>13.630599999999999</v>
      </c>
      <c r="E1931" s="4">
        <v>4.8561300000000003</v>
      </c>
      <c r="F1931" s="4">
        <v>8.3809999999999996E-2</v>
      </c>
    </row>
    <row r="1932" spans="1:6" x14ac:dyDescent="0.35">
      <c r="A1932" s="2" t="s">
        <v>2529</v>
      </c>
      <c r="B1932" s="6" t="e">
        <v>#N/A</v>
      </c>
      <c r="C1932" s="2" t="e">
        <v>#N/A</v>
      </c>
      <c r="D1932" s="4">
        <v>11.80518</v>
      </c>
      <c r="E1932" s="4">
        <v>4.8561300000000003</v>
      </c>
      <c r="F1932" s="4">
        <v>8.3809999999999996E-2</v>
      </c>
    </row>
    <row r="1933" spans="1:6" x14ac:dyDescent="0.35">
      <c r="A1933" s="2" t="s">
        <v>2530</v>
      </c>
      <c r="B1933" s="6" t="e">
        <v>#N/A</v>
      </c>
      <c r="C1933" s="2" t="e">
        <v>#N/A</v>
      </c>
      <c r="D1933" s="4">
        <v>11.938549999999999</v>
      </c>
      <c r="E1933" s="4">
        <v>4.9749299999999996</v>
      </c>
      <c r="F1933" s="4">
        <v>9.8379999999999995E-2</v>
      </c>
    </row>
    <row r="1934" spans="1:6" x14ac:dyDescent="0.35">
      <c r="A1934" s="2" t="s">
        <v>2531</v>
      </c>
      <c r="B1934" s="6" t="e">
        <v>#N/A</v>
      </c>
      <c r="C1934" s="2" t="e">
        <v>#N/A</v>
      </c>
      <c r="D1934" s="4">
        <v>15.918089999999999</v>
      </c>
      <c r="E1934" s="4">
        <v>5.2679999999999998</v>
      </c>
      <c r="F1934" s="4">
        <v>8.3809999999999996E-2</v>
      </c>
    </row>
    <row r="1935" spans="1:6" x14ac:dyDescent="0.35">
      <c r="A1935" s="2" t="s">
        <v>2532</v>
      </c>
      <c r="B1935" s="6" t="e">
        <v>#N/A</v>
      </c>
      <c r="C1935" s="2" t="e">
        <v>#N/A</v>
      </c>
      <c r="D1935" s="4">
        <v>35.354430000000001</v>
      </c>
      <c r="E1935" s="4">
        <v>23.333880000000001</v>
      </c>
      <c r="F1935" s="4">
        <v>0.40644000000000002</v>
      </c>
    </row>
    <row r="1936" spans="1:6" x14ac:dyDescent="0.35">
      <c r="A1936" s="2" t="s">
        <v>2533</v>
      </c>
      <c r="B1936" s="6" t="e">
        <v>#N/A</v>
      </c>
      <c r="C1936" s="2" t="e">
        <v>#N/A</v>
      </c>
      <c r="D1936" s="4">
        <v>37.179850000000002</v>
      </c>
      <c r="E1936" s="4">
        <v>23.333880000000001</v>
      </c>
      <c r="F1936" s="4">
        <v>0.40644000000000002</v>
      </c>
    </row>
    <row r="1937" spans="1:6" x14ac:dyDescent="0.35">
      <c r="A1937" s="2" t="s">
        <v>2534</v>
      </c>
      <c r="B1937" s="6" t="e">
        <v>#N/A</v>
      </c>
      <c r="C1937" s="2" t="e">
        <v>#N/A</v>
      </c>
      <c r="D1937" s="4">
        <v>40.245730000000002</v>
      </c>
      <c r="E1937" s="4">
        <v>24.524149999999999</v>
      </c>
      <c r="F1937" s="4">
        <v>0.40644000000000002</v>
      </c>
    </row>
    <row r="1938" spans="1:6" x14ac:dyDescent="0.35">
      <c r="A1938" s="2" t="s">
        <v>2535</v>
      </c>
      <c r="B1938" s="6" t="e">
        <v>#N/A</v>
      </c>
      <c r="C1938" s="2" t="e">
        <v>#N/A</v>
      </c>
      <c r="D1938" s="4">
        <v>43.561050000000002</v>
      </c>
      <c r="E1938" s="4">
        <v>26.562750000000001</v>
      </c>
      <c r="F1938" s="4">
        <v>0.45147999999999999</v>
      </c>
    </row>
    <row r="1939" spans="1:6" x14ac:dyDescent="0.35">
      <c r="A1939" s="2" t="s">
        <v>2536</v>
      </c>
      <c r="B1939" s="6" t="e">
        <v>#N/A</v>
      </c>
      <c r="C1939" s="2" t="e">
        <v>#N/A</v>
      </c>
      <c r="D1939" s="4">
        <v>45.386470000000003</v>
      </c>
      <c r="E1939" s="4">
        <v>26.562750000000001</v>
      </c>
      <c r="F1939" s="4">
        <v>0.45147999999999999</v>
      </c>
    </row>
    <row r="1940" spans="1:6" x14ac:dyDescent="0.35">
      <c r="A1940" s="2" t="s">
        <v>2537</v>
      </c>
      <c r="B1940" s="6" t="e">
        <v>#N/A</v>
      </c>
      <c r="C1940" s="2" t="e">
        <v>#N/A</v>
      </c>
      <c r="D1940" s="4">
        <v>48.452359999999999</v>
      </c>
      <c r="E1940" s="4">
        <v>27.753039999999999</v>
      </c>
      <c r="F1940" s="4">
        <v>0.45147999999999999</v>
      </c>
    </row>
    <row r="1941" spans="1:6" x14ac:dyDescent="0.35">
      <c r="A1941" s="2" t="s">
        <v>2538</v>
      </c>
      <c r="B1941" s="6" t="e">
        <v>#N/A</v>
      </c>
      <c r="C1941" s="2" t="e">
        <v>#N/A</v>
      </c>
      <c r="D1941" s="4">
        <v>11.744</v>
      </c>
      <c r="E1941" s="4">
        <v>5.2328999999999999</v>
      </c>
      <c r="F1941" s="4">
        <v>5.0639999999999998E-2</v>
      </c>
    </row>
    <row r="1942" spans="1:6" x14ac:dyDescent="0.35">
      <c r="A1942" s="2" t="s">
        <v>2539</v>
      </c>
      <c r="B1942" s="6" t="e">
        <v>#N/A</v>
      </c>
      <c r="C1942" s="2" t="e">
        <v>#N/A</v>
      </c>
      <c r="D1942" s="4">
        <v>19.28565</v>
      </c>
      <c r="E1942" s="4">
        <v>10.91089</v>
      </c>
      <c r="F1942" s="4">
        <v>0.15598000000000001</v>
      </c>
    </row>
    <row r="1943" spans="1:6" x14ac:dyDescent="0.35">
      <c r="A1943" s="2" t="s">
        <v>2540</v>
      </c>
      <c r="B1943" s="6" t="e">
        <v>#N/A</v>
      </c>
      <c r="C1943" s="2" t="e">
        <v>#N/A</v>
      </c>
      <c r="D1943" s="4">
        <v>23.39856</v>
      </c>
      <c r="E1943" s="4">
        <v>11.322749999999999</v>
      </c>
      <c r="F1943" s="4">
        <v>0.15598000000000001</v>
      </c>
    </row>
    <row r="1944" spans="1:6" x14ac:dyDescent="0.35">
      <c r="A1944" s="2" t="s">
        <v>2541</v>
      </c>
      <c r="B1944" s="6" t="e">
        <v>#N/A</v>
      </c>
      <c r="C1944" s="2" t="e">
        <v>#N/A</v>
      </c>
      <c r="D1944" s="4">
        <v>76.600909999999999</v>
      </c>
      <c r="E1944" s="4">
        <v>59.161340000000003</v>
      </c>
      <c r="F1944" s="4">
        <v>0.89275000000000004</v>
      </c>
    </row>
    <row r="1945" spans="1:6" x14ac:dyDescent="0.35">
      <c r="A1945" s="2" t="s">
        <v>2542</v>
      </c>
      <c r="B1945" s="6" t="e">
        <v>#N/A</v>
      </c>
      <c r="C1945" s="2" t="e">
        <v>#N/A</v>
      </c>
      <c r="D1945" s="4">
        <v>12.63287</v>
      </c>
      <c r="E1945" s="4">
        <v>6.1581000000000001</v>
      </c>
      <c r="F1945" s="4">
        <v>8.0240000000000006E-2</v>
      </c>
    </row>
    <row r="1946" spans="1:6" x14ac:dyDescent="0.35">
      <c r="A1946" s="2" t="s">
        <v>2543</v>
      </c>
      <c r="B1946" s="6" t="e">
        <v>#N/A</v>
      </c>
      <c r="C1946" s="2" t="e">
        <v>#N/A</v>
      </c>
      <c r="D1946" s="4">
        <v>14.45829</v>
      </c>
      <c r="E1946" s="4">
        <v>6.1581000000000001</v>
      </c>
      <c r="F1946" s="4">
        <v>8.0240000000000006E-2</v>
      </c>
    </row>
    <row r="1947" spans="1:6" x14ac:dyDescent="0.35">
      <c r="A1947" s="2" t="s">
        <v>2544</v>
      </c>
      <c r="B1947" s="6" t="e">
        <v>#N/A</v>
      </c>
      <c r="C1947" s="2" t="e">
        <v>#N/A</v>
      </c>
      <c r="D1947" s="4">
        <v>12.740180000000001</v>
      </c>
      <c r="E1947" s="4">
        <v>6.2535699999999999</v>
      </c>
      <c r="F1947" s="4">
        <v>9.2079999999999995E-2</v>
      </c>
    </row>
    <row r="1948" spans="1:6" x14ac:dyDescent="0.35">
      <c r="A1948" s="2" t="s">
        <v>2545</v>
      </c>
      <c r="B1948" s="6" t="e">
        <v>#N/A</v>
      </c>
      <c r="C1948" s="2" t="e">
        <v>#N/A</v>
      </c>
      <c r="D1948" s="4">
        <v>16.5975</v>
      </c>
      <c r="E1948" s="4">
        <v>6.4217000000000004</v>
      </c>
      <c r="F1948" s="4">
        <v>8.0240000000000006E-2</v>
      </c>
    </row>
    <row r="1949" spans="1:6" x14ac:dyDescent="0.35">
      <c r="A1949" s="2" t="s">
        <v>2546</v>
      </c>
      <c r="B1949" s="6" t="e">
        <v>#N/A</v>
      </c>
      <c r="C1949" s="2" t="e">
        <v>#N/A</v>
      </c>
      <c r="D1949" s="4">
        <v>16.5975</v>
      </c>
      <c r="E1949" s="4">
        <v>6.4217000000000004</v>
      </c>
      <c r="F1949" s="4">
        <v>8.0240000000000006E-2</v>
      </c>
    </row>
    <row r="1950" spans="1:6" x14ac:dyDescent="0.35">
      <c r="A1950" s="2" t="s">
        <v>2547</v>
      </c>
      <c r="B1950" s="6" t="e">
        <v>#N/A</v>
      </c>
      <c r="C1950" s="2" t="e">
        <v>#N/A</v>
      </c>
      <c r="D1950" s="4">
        <v>16.5975</v>
      </c>
      <c r="E1950" s="4">
        <v>6.4217000000000004</v>
      </c>
      <c r="F1950" s="4">
        <v>8.0240000000000006E-2</v>
      </c>
    </row>
    <row r="1951" spans="1:6" x14ac:dyDescent="0.35">
      <c r="A1951" s="2" t="s">
        <v>2548</v>
      </c>
      <c r="B1951" s="6" t="e">
        <v>#N/A</v>
      </c>
      <c r="C1951" s="2" t="e">
        <v>#N/A</v>
      </c>
      <c r="D1951" s="4">
        <v>20.267849999999999</v>
      </c>
      <c r="E1951" s="4">
        <v>11.810169999999999</v>
      </c>
      <c r="F1951" s="4">
        <v>0.2389</v>
      </c>
    </row>
    <row r="1952" spans="1:6" x14ac:dyDescent="0.35">
      <c r="A1952" s="2" t="s">
        <v>2549</v>
      </c>
      <c r="B1952" s="6" t="e">
        <v>#N/A</v>
      </c>
      <c r="C1952" s="2" t="e">
        <v>#N/A</v>
      </c>
      <c r="D1952" s="4">
        <v>22.09327</v>
      </c>
      <c r="E1952" s="4">
        <v>11.810169999999999</v>
      </c>
      <c r="F1952" s="4">
        <v>0.2389</v>
      </c>
    </row>
    <row r="1953" spans="1:6" x14ac:dyDescent="0.35">
      <c r="A1953" s="2" t="s">
        <v>2550</v>
      </c>
      <c r="B1953" s="6" t="e">
        <v>#N/A</v>
      </c>
      <c r="C1953" s="2" t="e">
        <v>#N/A</v>
      </c>
      <c r="D1953" s="4">
        <v>20.40474</v>
      </c>
      <c r="E1953" s="4">
        <v>11.92338</v>
      </c>
      <c r="F1953" s="4">
        <v>0.26257999999999998</v>
      </c>
    </row>
    <row r="1954" spans="1:6" x14ac:dyDescent="0.35">
      <c r="A1954" s="2" t="s">
        <v>2551</v>
      </c>
      <c r="B1954" s="6" t="e">
        <v>#N/A</v>
      </c>
      <c r="C1954" s="2" t="e">
        <v>#N/A</v>
      </c>
      <c r="D1954" s="4">
        <v>24.664940000000001</v>
      </c>
      <c r="E1954" s="4">
        <v>12.506209999999999</v>
      </c>
      <c r="F1954" s="4">
        <v>0.2389</v>
      </c>
    </row>
    <row r="1955" spans="1:6" x14ac:dyDescent="0.35">
      <c r="A1955" s="2" t="s">
        <v>2552</v>
      </c>
      <c r="B1955" s="6" t="e">
        <v>#N/A</v>
      </c>
      <c r="C1955" s="2" t="e">
        <v>#N/A</v>
      </c>
      <c r="D1955" s="4">
        <v>186.04580999999999</v>
      </c>
      <c r="E1955" s="4">
        <v>112.93916</v>
      </c>
      <c r="F1955" s="4">
        <v>1.6879900000000001</v>
      </c>
    </row>
    <row r="1956" spans="1:6" x14ac:dyDescent="0.35">
      <c r="A1956" s="2" t="s">
        <v>2553</v>
      </c>
      <c r="B1956" s="6" t="e">
        <v>#N/A</v>
      </c>
      <c r="C1956" s="2" t="e">
        <v>#N/A</v>
      </c>
      <c r="D1956" s="4">
        <v>12.3765</v>
      </c>
      <c r="E1956" s="4">
        <v>5.6108500000000001</v>
      </c>
      <c r="F1956" s="4">
        <v>5.8799999999999998E-2</v>
      </c>
    </row>
    <row r="1957" spans="1:6" x14ac:dyDescent="0.35">
      <c r="A1957" s="2" t="s">
        <v>2554</v>
      </c>
      <c r="B1957" s="6" t="e">
        <v>#N/A</v>
      </c>
      <c r="C1957" s="2" t="e">
        <v>#N/A</v>
      </c>
      <c r="D1957" s="4">
        <v>8.8154599999999999</v>
      </c>
      <c r="E1957" s="4">
        <v>2.1404399999999999</v>
      </c>
      <c r="F1957" s="4">
        <v>3.4070000000000003E-2</v>
      </c>
    </row>
    <row r="1958" spans="1:6" x14ac:dyDescent="0.35">
      <c r="A1958" s="2" t="s">
        <v>2555</v>
      </c>
      <c r="B1958" s="6" t="e">
        <v>#N/A</v>
      </c>
      <c r="C1958" s="2" t="e">
        <v>#N/A</v>
      </c>
      <c r="D1958" s="4">
        <v>10.640879999999999</v>
      </c>
      <c r="E1958" s="4">
        <v>2.1404399999999999</v>
      </c>
      <c r="F1958" s="4">
        <v>3.4070000000000003E-2</v>
      </c>
    </row>
    <row r="1959" spans="1:6" x14ac:dyDescent="0.35">
      <c r="A1959" s="2" t="s">
        <v>2556</v>
      </c>
      <c r="B1959" s="6" t="e">
        <v>#N/A</v>
      </c>
      <c r="C1959" s="2" t="e">
        <v>#N/A</v>
      </c>
      <c r="D1959" s="4">
        <v>10.640879999999999</v>
      </c>
      <c r="E1959" s="4">
        <v>2.1404399999999999</v>
      </c>
      <c r="F1959" s="4">
        <v>3.4070000000000003E-2</v>
      </c>
    </row>
    <row r="1960" spans="1:6" x14ac:dyDescent="0.35">
      <c r="A1960" s="2" t="s">
        <v>2557</v>
      </c>
      <c r="B1960" s="6" t="e">
        <v>#N/A</v>
      </c>
      <c r="C1960" s="2" t="e">
        <v>#N/A</v>
      </c>
      <c r="D1960" s="4">
        <v>53.580770000000001</v>
      </c>
      <c r="E1960" s="4">
        <v>38.246670000000002</v>
      </c>
      <c r="F1960" s="4">
        <v>0.54561999999999999</v>
      </c>
    </row>
    <row r="1961" spans="1:6" x14ac:dyDescent="0.35">
      <c r="A1961" s="2" t="s">
        <v>2558</v>
      </c>
      <c r="B1961" s="6" t="e">
        <v>#N/A</v>
      </c>
      <c r="C1961" s="2" t="e">
        <v>#N/A</v>
      </c>
      <c r="D1961" s="4">
        <v>12.08995</v>
      </c>
      <c r="E1961" s="4">
        <v>5.3778100000000002</v>
      </c>
      <c r="F1961" s="4">
        <v>7.1190000000000003E-2</v>
      </c>
    </row>
    <row r="1962" spans="1:6" x14ac:dyDescent="0.35">
      <c r="A1962" s="2" t="s">
        <v>2559</v>
      </c>
      <c r="B1962" s="6" t="e">
        <v>#N/A</v>
      </c>
      <c r="C1962" s="2" t="e">
        <v>#N/A</v>
      </c>
      <c r="D1962" s="4">
        <v>16.494810000000001</v>
      </c>
      <c r="E1962" s="4">
        <v>9.6054099999999991</v>
      </c>
      <c r="F1962" s="4">
        <v>0.20463999999999999</v>
      </c>
    </row>
    <row r="1963" spans="1:6" x14ac:dyDescent="0.35">
      <c r="A1963" s="2" t="s">
        <v>2560</v>
      </c>
      <c r="B1963" s="6" t="e">
        <v>#N/A</v>
      </c>
      <c r="C1963" s="2" t="e">
        <v>#N/A</v>
      </c>
      <c r="D1963" s="4">
        <v>10.31124</v>
      </c>
      <c r="E1963" s="4">
        <v>3.8436400000000002</v>
      </c>
      <c r="F1963" s="4">
        <v>7.3069999999999996E-2</v>
      </c>
    </row>
    <row r="1964" spans="1:6" x14ac:dyDescent="0.35">
      <c r="A1964" s="2" t="s">
        <v>2561</v>
      </c>
      <c r="B1964" s="6" t="e">
        <v>#N/A</v>
      </c>
      <c r="C1964" s="2" t="e">
        <v>#N/A</v>
      </c>
      <c r="D1964" s="4">
        <v>34.397359999999999</v>
      </c>
      <c r="E1964" s="4">
        <v>19.293469999999999</v>
      </c>
      <c r="F1964" s="4">
        <v>0.31541000000000002</v>
      </c>
    </row>
    <row r="1965" spans="1:6" x14ac:dyDescent="0.35">
      <c r="A1965" s="2" t="s">
        <v>2562</v>
      </c>
      <c r="B1965" s="6" t="e">
        <v>#N/A</v>
      </c>
      <c r="C1965" s="2" t="e">
        <v>#N/A</v>
      </c>
      <c r="D1965" s="4">
        <v>13.23169</v>
      </c>
      <c r="E1965" s="4">
        <v>6.6692900000000002</v>
      </c>
      <c r="F1965" s="4">
        <v>0.10194</v>
      </c>
    </row>
    <row r="1966" spans="1:6" x14ac:dyDescent="0.35">
      <c r="A1966" s="2" t="s">
        <v>2563</v>
      </c>
      <c r="B1966" s="6" t="e">
        <v>#N/A</v>
      </c>
      <c r="C1966" s="2" t="e">
        <v>#N/A</v>
      </c>
      <c r="D1966" s="4">
        <v>17.62876</v>
      </c>
      <c r="E1966" s="4">
        <v>7.3653300000000002</v>
      </c>
      <c r="F1966" s="4">
        <v>0.10194</v>
      </c>
    </row>
    <row r="1967" spans="1:6" x14ac:dyDescent="0.35">
      <c r="A1967" s="2" t="s">
        <v>2564</v>
      </c>
      <c r="B1967" s="6" t="e">
        <v>#N/A</v>
      </c>
      <c r="C1967" s="2" t="e">
        <v>#N/A</v>
      </c>
      <c r="D1967" s="4">
        <v>53.580770000000001</v>
      </c>
      <c r="E1967" s="4">
        <v>38.246670000000002</v>
      </c>
      <c r="F1967" s="4">
        <v>0.54561999999999999</v>
      </c>
    </row>
    <row r="1968" spans="1:6" x14ac:dyDescent="0.35">
      <c r="A1968" s="2" t="s">
        <v>2565</v>
      </c>
      <c r="B1968" s="6" t="e">
        <v>#N/A</v>
      </c>
      <c r="C1968" s="2" t="e">
        <v>#N/A</v>
      </c>
      <c r="D1968" s="4">
        <v>58.229080000000003</v>
      </c>
      <c r="E1968" s="4">
        <v>39.193959999999997</v>
      </c>
      <c r="F1968" s="4">
        <v>0.54561999999999999</v>
      </c>
    </row>
    <row r="1969" spans="1:6" x14ac:dyDescent="0.35">
      <c r="A1969" s="2" t="s">
        <v>2566</v>
      </c>
      <c r="B1969" s="6" t="e">
        <v>#N/A</v>
      </c>
      <c r="C1969" s="2" t="e">
        <v>#N/A</v>
      </c>
      <c r="D1969" s="4">
        <v>11.966989999999999</v>
      </c>
      <c r="E1969" s="4">
        <v>5.2666899999999996</v>
      </c>
      <c r="F1969" s="4">
        <v>5.935E-2</v>
      </c>
    </row>
    <row r="1970" spans="1:6" x14ac:dyDescent="0.35">
      <c r="A1970" s="2" t="s">
        <v>2567</v>
      </c>
      <c r="B1970" s="6" t="e">
        <v>#N/A</v>
      </c>
      <c r="C1970" s="2" t="e">
        <v>#N/A</v>
      </c>
      <c r="D1970" s="4">
        <v>15.931620000000001</v>
      </c>
      <c r="E1970" s="4">
        <v>5.5302800000000003</v>
      </c>
      <c r="F1970" s="4">
        <v>5.935E-2</v>
      </c>
    </row>
    <row r="1971" spans="1:6" x14ac:dyDescent="0.35">
      <c r="A1971" s="2" t="s">
        <v>2568</v>
      </c>
      <c r="B1971" s="6" t="e">
        <v>#N/A</v>
      </c>
      <c r="C1971" s="2" t="e">
        <v>#N/A</v>
      </c>
      <c r="D1971" s="4">
        <v>16.27384</v>
      </c>
      <c r="E1971" s="4">
        <v>9.40916</v>
      </c>
      <c r="F1971" s="4">
        <v>0.17992</v>
      </c>
    </row>
    <row r="1972" spans="1:6" x14ac:dyDescent="0.35">
      <c r="A1972" s="2" t="s">
        <v>2569</v>
      </c>
      <c r="B1972" s="6" t="e">
        <v>#N/A</v>
      </c>
      <c r="C1972" s="2" t="e">
        <v>#N/A</v>
      </c>
      <c r="D1972" s="4">
        <v>20.670909999999999</v>
      </c>
      <c r="E1972" s="4">
        <v>10.10521</v>
      </c>
      <c r="F1972" s="4">
        <v>0.17992</v>
      </c>
    </row>
    <row r="1973" spans="1:6" x14ac:dyDescent="0.35">
      <c r="A1973" s="2" t="s">
        <v>2570</v>
      </c>
      <c r="B1973" s="6" t="e">
        <v>#N/A</v>
      </c>
      <c r="C1973" s="2" t="e">
        <v>#N/A</v>
      </c>
      <c r="D1973" s="4">
        <v>10.17787</v>
      </c>
      <c r="E1973" s="4">
        <v>3.7248399999999999</v>
      </c>
      <c r="F1973" s="4">
        <v>5.8500000000000003E-2</v>
      </c>
    </row>
    <row r="1974" spans="1:6" x14ac:dyDescent="0.35">
      <c r="A1974" s="2" t="s">
        <v>2571</v>
      </c>
      <c r="B1974" s="6" t="e">
        <v>#N/A</v>
      </c>
      <c r="C1974" s="2" t="e">
        <v>#N/A</v>
      </c>
      <c r="D1974" s="4">
        <v>12.00329</v>
      </c>
      <c r="E1974" s="4">
        <v>3.7248399999999999</v>
      </c>
      <c r="F1974" s="4">
        <v>5.8500000000000003E-2</v>
      </c>
    </row>
    <row r="1975" spans="1:6" x14ac:dyDescent="0.35">
      <c r="A1975" s="2" t="s">
        <v>2572</v>
      </c>
      <c r="B1975" s="6" t="e">
        <v>#N/A</v>
      </c>
      <c r="C1975" s="2" t="e">
        <v>#N/A</v>
      </c>
      <c r="D1975" s="4">
        <v>14.290760000000001</v>
      </c>
      <c r="E1975" s="4">
        <v>4.1367000000000003</v>
      </c>
      <c r="F1975" s="4">
        <v>5.8500000000000003E-2</v>
      </c>
    </row>
    <row r="1976" spans="1:6" x14ac:dyDescent="0.35">
      <c r="A1976" s="2" t="s">
        <v>2573</v>
      </c>
      <c r="B1976" s="6" t="e">
        <v>#N/A</v>
      </c>
      <c r="C1976" s="2" t="e">
        <v>#N/A</v>
      </c>
      <c r="D1976" s="4">
        <v>34.397359999999999</v>
      </c>
      <c r="E1976" s="4">
        <v>19.293469999999999</v>
      </c>
      <c r="F1976" s="4">
        <v>0.31541000000000002</v>
      </c>
    </row>
    <row r="1977" spans="1:6" x14ac:dyDescent="0.35">
      <c r="A1977" s="2" t="s">
        <v>2574</v>
      </c>
      <c r="B1977" s="6" t="e">
        <v>#N/A</v>
      </c>
      <c r="C1977" s="2" t="e">
        <v>#N/A</v>
      </c>
      <c r="D1977" s="4">
        <v>35.415379999999999</v>
      </c>
      <c r="E1977" s="4">
        <v>20.390979999999999</v>
      </c>
      <c r="F1977" s="4">
        <v>0.23591999999999999</v>
      </c>
    </row>
    <row r="1978" spans="1:6" x14ac:dyDescent="0.35">
      <c r="A1978" s="2" t="s">
        <v>2575</v>
      </c>
      <c r="B1978" s="6" t="e">
        <v>#N/A</v>
      </c>
      <c r="C1978" s="2" t="e">
        <v>#N/A</v>
      </c>
      <c r="D1978" s="4">
        <v>9.3444599999999998</v>
      </c>
      <c r="E1978" s="4">
        <v>2.6568100000000001</v>
      </c>
      <c r="F1978" s="4">
        <v>4.6699999999999998E-2</v>
      </c>
    </row>
    <row r="1979" spans="1:6" x14ac:dyDescent="0.35">
      <c r="A1979" s="2" t="s">
        <v>2576</v>
      </c>
      <c r="B1979" s="6" t="e">
        <v>#N/A</v>
      </c>
      <c r="C1979" s="2" t="e">
        <v>#N/A</v>
      </c>
      <c r="D1979" s="4">
        <v>11.169879999999999</v>
      </c>
      <c r="E1979" s="4">
        <v>2.6568100000000001</v>
      </c>
      <c r="F1979" s="4">
        <v>4.6699999999999998E-2</v>
      </c>
    </row>
    <row r="1980" spans="1:6" x14ac:dyDescent="0.35">
      <c r="A1980" s="2" t="s">
        <v>2577</v>
      </c>
      <c r="B1980" s="6" t="e">
        <v>#N/A</v>
      </c>
      <c r="C1980" s="2" t="e">
        <v>#N/A</v>
      </c>
      <c r="D1980" s="4">
        <v>9.1792300000000004</v>
      </c>
      <c r="E1980" s="4">
        <v>2.4982700000000002</v>
      </c>
      <c r="F1980" s="4">
        <v>4.0009999999999997E-2</v>
      </c>
    </row>
    <row r="1981" spans="1:6" x14ac:dyDescent="0.35">
      <c r="A1981" s="2" t="s">
        <v>2578</v>
      </c>
      <c r="B1981" s="6" t="e">
        <v>#N/A</v>
      </c>
      <c r="C1981" s="2" t="e">
        <v>#N/A</v>
      </c>
      <c r="D1981" s="4">
        <v>13.14386</v>
      </c>
      <c r="E1981" s="4">
        <v>2.76186</v>
      </c>
      <c r="F1981" s="4">
        <v>4.0009999999999997E-2</v>
      </c>
    </row>
    <row r="1982" spans="1:6" x14ac:dyDescent="0.35">
      <c r="A1982" s="2" t="s">
        <v>2579</v>
      </c>
      <c r="B1982" s="6" t="e">
        <v>#N/A</v>
      </c>
      <c r="C1982" s="2" t="e">
        <v>#N/A</v>
      </c>
      <c r="D1982" s="4">
        <v>11.22411</v>
      </c>
      <c r="E1982" s="4">
        <v>4.3090999999999999</v>
      </c>
      <c r="F1982" s="4">
        <v>4.9770000000000002E-2</v>
      </c>
    </row>
    <row r="1983" spans="1:6" x14ac:dyDescent="0.35">
      <c r="A1983" s="2" t="s">
        <v>2580</v>
      </c>
      <c r="B1983" s="6" t="e">
        <v>#N/A</v>
      </c>
      <c r="C1983" s="2" t="e">
        <v>#N/A</v>
      </c>
      <c r="D1983" s="4">
        <v>13.049530000000001</v>
      </c>
      <c r="E1983" s="4">
        <v>4.3090999999999999</v>
      </c>
      <c r="F1983" s="4">
        <v>4.9770000000000002E-2</v>
      </c>
    </row>
    <row r="1984" spans="1:6" x14ac:dyDescent="0.35">
      <c r="A1984" s="2" t="s">
        <v>2581</v>
      </c>
      <c r="B1984" s="6" t="s">
        <v>2582</v>
      </c>
      <c r="C1984" s="2" t="s">
        <v>461</v>
      </c>
      <c r="D1984" s="4">
        <v>15.337</v>
      </c>
      <c r="E1984" s="4">
        <v>4.7209500000000002</v>
      </c>
      <c r="F1984" s="4">
        <v>4.9770000000000002E-2</v>
      </c>
    </row>
    <row r="1985" spans="1:6" x14ac:dyDescent="0.35">
      <c r="A1985" s="2" t="s">
        <v>2583</v>
      </c>
      <c r="B1985" s="6" t="e">
        <v>#N/A</v>
      </c>
      <c r="C1985" s="2" t="e">
        <v>#N/A</v>
      </c>
      <c r="D1985" s="4">
        <v>17.162420000000001</v>
      </c>
      <c r="E1985" s="4">
        <v>4.7209500000000002</v>
      </c>
      <c r="F1985" s="4">
        <v>4.9770000000000002E-2</v>
      </c>
    </row>
    <row r="1986" spans="1:6" x14ac:dyDescent="0.35">
      <c r="A1986" s="2" t="s">
        <v>396</v>
      </c>
      <c r="B1986" s="6" t="s">
        <v>2584</v>
      </c>
      <c r="C1986" s="2" t="s">
        <v>2585</v>
      </c>
      <c r="D1986" s="4">
        <v>9473.7065600000005</v>
      </c>
      <c r="E1986" s="4">
        <v>8293.0348799999992</v>
      </c>
      <c r="F1986" s="4">
        <v>95.712320000000005</v>
      </c>
    </row>
    <row r="1987" spans="1:6" x14ac:dyDescent="0.35">
      <c r="A1987" s="2" t="s">
        <v>2586</v>
      </c>
      <c r="B1987" s="6" t="s">
        <v>2587</v>
      </c>
      <c r="C1987" s="2" t="s">
        <v>2585</v>
      </c>
      <c r="D1987" s="4">
        <v>9473.7065600000005</v>
      </c>
      <c r="E1987" s="4">
        <v>8293.0348799999992</v>
      </c>
      <c r="F1987" s="4">
        <v>95.712320000000005</v>
      </c>
    </row>
    <row r="1988" spans="1:6" x14ac:dyDescent="0.35">
      <c r="A1988" s="2" t="s">
        <v>1078</v>
      </c>
      <c r="B1988" s="6" t="e">
        <v>#N/A</v>
      </c>
      <c r="C1988" s="2" t="e">
        <v>#N/A</v>
      </c>
      <c r="D1988" s="4">
        <v>486</v>
      </c>
      <c r="E1988" s="4">
        <v>486</v>
      </c>
      <c r="F1988" s="4">
        <v>0</v>
      </c>
    </row>
    <row r="1989" spans="1:6" x14ac:dyDescent="0.35">
      <c r="A1989" s="2" t="s">
        <v>2588</v>
      </c>
      <c r="B1989" s="6" t="s">
        <v>2589</v>
      </c>
      <c r="C1989" s="2" t="s">
        <v>461</v>
      </c>
      <c r="D1989" s="4">
        <v>1.8568472119999999</v>
      </c>
      <c r="E1989" s="4">
        <v>1.764127212</v>
      </c>
      <c r="F1989" s="4">
        <v>9.2719999999999997E-2</v>
      </c>
    </row>
    <row r="1990" spans="1:6" x14ac:dyDescent="0.35">
      <c r="A1990" s="2" t="s">
        <v>2590</v>
      </c>
      <c r="B1990" s="6" t="s">
        <v>2591</v>
      </c>
      <c r="C1990" s="2" t="s">
        <v>461</v>
      </c>
      <c r="D1990" s="4">
        <v>1.3433695000000001</v>
      </c>
      <c r="E1990" s="4">
        <v>1.2770999999999999</v>
      </c>
      <c r="F1990" s="4">
        <v>6.6269499999999995E-2</v>
      </c>
    </row>
    <row r="1991" spans="1:6" x14ac:dyDescent="0.35">
      <c r="A1991" s="2" t="s">
        <v>2592</v>
      </c>
      <c r="B1991" s="6" t="e">
        <v>#N/A</v>
      </c>
      <c r="C1991" s="2" t="e">
        <v>#N/A</v>
      </c>
      <c r="D1991" s="4">
        <v>2.76179</v>
      </c>
      <c r="E1991" s="4">
        <v>1.67265</v>
      </c>
      <c r="F1991" s="4">
        <v>3.5889999999999998E-2</v>
      </c>
    </row>
    <row r="1992" spans="1:6" x14ac:dyDescent="0.35">
      <c r="A1992" s="2" t="s">
        <v>2593</v>
      </c>
      <c r="B1992" s="6" t="s">
        <v>2594</v>
      </c>
      <c r="C1992" s="2" t="s">
        <v>461</v>
      </c>
      <c r="D1992" s="4">
        <v>2.7270300000000001</v>
      </c>
      <c r="E1992" s="4">
        <v>1.63788</v>
      </c>
      <c r="F1992" s="4">
        <v>3.5900000000000001E-2</v>
      </c>
    </row>
    <row r="1993" spans="1:6" x14ac:dyDescent="0.35">
      <c r="A1993" s="2" t="s">
        <v>2595</v>
      </c>
      <c r="B1993" s="6" t="s">
        <v>2596</v>
      </c>
      <c r="C1993" s="2" t="s">
        <v>461</v>
      </c>
      <c r="D1993" s="4">
        <v>2.76179</v>
      </c>
      <c r="E1993" s="4">
        <v>1.67265</v>
      </c>
      <c r="F1993" s="4">
        <v>3.5889999999999998E-2</v>
      </c>
    </row>
    <row r="1994" spans="1:6" x14ac:dyDescent="0.35">
      <c r="A1994" s="2" t="s">
        <v>2597</v>
      </c>
      <c r="B1994" s="6" t="s">
        <v>2594</v>
      </c>
      <c r="C1994" s="2" t="s">
        <v>461</v>
      </c>
      <c r="D1994" s="4">
        <v>2.7254700000000001</v>
      </c>
      <c r="E1994" s="4">
        <v>1.63632</v>
      </c>
      <c r="F1994" s="4">
        <v>3.5900000000000001E-2</v>
      </c>
    </row>
    <row r="1995" spans="1:6" x14ac:dyDescent="0.35">
      <c r="A1995" s="2" t="s">
        <v>2598</v>
      </c>
      <c r="B1995" s="6" t="s">
        <v>2594</v>
      </c>
      <c r="C1995" s="2" t="s">
        <v>461</v>
      </c>
      <c r="D1995" s="4">
        <v>2.4261900000000001</v>
      </c>
      <c r="E1995" s="4">
        <v>1.37496</v>
      </c>
      <c r="F1995" s="4">
        <v>3.3450000000000001E-2</v>
      </c>
    </row>
    <row r="1996" spans="1:6" x14ac:dyDescent="0.35">
      <c r="A1996" s="2" t="s">
        <v>2599</v>
      </c>
      <c r="B1996" s="6" t="e">
        <v>#N/A</v>
      </c>
      <c r="C1996" s="2" t="e">
        <v>#N/A</v>
      </c>
      <c r="D1996" s="4">
        <v>3.2441200000000001</v>
      </c>
      <c r="E1996" s="4">
        <v>2.17266</v>
      </c>
      <c r="F1996" s="4">
        <v>3.107E-2</v>
      </c>
    </row>
    <row r="1997" spans="1:6" x14ac:dyDescent="0.35">
      <c r="A1997" s="2" t="s">
        <v>2600</v>
      </c>
      <c r="B1997" s="6" t="s">
        <v>2594</v>
      </c>
      <c r="C1997" s="2" t="s">
        <v>461</v>
      </c>
      <c r="D1997" s="4">
        <v>2.9541400000000002</v>
      </c>
      <c r="E1997" s="4">
        <v>1.9381699999999999</v>
      </c>
      <c r="F1997" s="4">
        <v>2.8549999999999999E-2</v>
      </c>
    </row>
    <row r="1998" spans="1:6" x14ac:dyDescent="0.35">
      <c r="A1998" s="2" t="s">
        <v>2601</v>
      </c>
      <c r="B1998" s="6" t="s">
        <v>2594</v>
      </c>
      <c r="C1998" s="2" t="s">
        <v>461</v>
      </c>
      <c r="D1998" s="4">
        <v>2.32063</v>
      </c>
      <c r="E1998" s="4">
        <v>1.13069</v>
      </c>
      <c r="F1998" s="4">
        <v>3.5900000000000001E-2</v>
      </c>
    </row>
    <row r="1999" spans="1:6" x14ac:dyDescent="0.35">
      <c r="A1999" s="2" t="s">
        <v>2602</v>
      </c>
      <c r="B1999" s="6" t="s">
        <v>2594</v>
      </c>
      <c r="C1999" s="2" t="s">
        <v>461</v>
      </c>
      <c r="D1999" s="4">
        <v>2.32063</v>
      </c>
      <c r="E1999" s="4">
        <v>1.13069</v>
      </c>
      <c r="F1999" s="4">
        <v>3.5900000000000001E-2</v>
      </c>
    </row>
    <row r="2000" spans="1:6" x14ac:dyDescent="0.35">
      <c r="A2000" s="2" t="s">
        <v>2603</v>
      </c>
      <c r="B2000" s="6" t="s">
        <v>2596</v>
      </c>
      <c r="C2000" s="2" t="s">
        <v>461</v>
      </c>
      <c r="D2000" s="4">
        <v>2.7208100000000002</v>
      </c>
      <c r="E2000" s="4">
        <v>1.6291899999999999</v>
      </c>
      <c r="F2000" s="4">
        <v>3.7310000000000003E-2</v>
      </c>
    </row>
    <row r="2001" spans="1:6" x14ac:dyDescent="0.35">
      <c r="A2001" s="2" t="s">
        <v>2604</v>
      </c>
      <c r="B2001" s="6" t="e">
        <v>#N/A</v>
      </c>
      <c r="C2001" s="2" t="e">
        <v>#N/A</v>
      </c>
      <c r="D2001" s="4">
        <v>2.7073800000000001</v>
      </c>
      <c r="E2001" s="4">
        <v>1.6142799999999999</v>
      </c>
      <c r="F2001" s="4">
        <v>3.8789999999999998E-2</v>
      </c>
    </row>
    <row r="2002" spans="1:6" x14ac:dyDescent="0.35">
      <c r="A2002" s="2" t="s">
        <v>2605</v>
      </c>
      <c r="B2002" s="6" t="e">
        <v>#N/A</v>
      </c>
      <c r="C2002" s="2" t="e">
        <v>#N/A</v>
      </c>
      <c r="D2002" s="4">
        <v>2.7073800000000001</v>
      </c>
      <c r="E2002" s="4">
        <v>1.6142799999999999</v>
      </c>
      <c r="F2002" s="4">
        <v>3.8789999999999998E-2</v>
      </c>
    </row>
    <row r="2003" spans="1:6" x14ac:dyDescent="0.35">
      <c r="A2003" s="2" t="s">
        <v>2606</v>
      </c>
      <c r="B2003" s="6" t="e">
        <v>#N/A</v>
      </c>
      <c r="C2003" s="2" t="e">
        <v>#N/A</v>
      </c>
      <c r="D2003" s="4">
        <v>3.5718000000000001</v>
      </c>
      <c r="E2003" s="4">
        <v>1.88093</v>
      </c>
      <c r="F2003" s="4">
        <v>6.9540000000000005E-2</v>
      </c>
    </row>
    <row r="2004" spans="1:6" x14ac:dyDescent="0.35">
      <c r="A2004" s="2" t="s">
        <v>2607</v>
      </c>
      <c r="B2004" s="6" t="s">
        <v>2608</v>
      </c>
      <c r="C2004" s="2" t="s">
        <v>461</v>
      </c>
      <c r="D2004" s="4">
        <v>2.8142900000000002</v>
      </c>
      <c r="E2004" s="4">
        <v>1.7006399999999999</v>
      </c>
      <c r="F2004" s="4">
        <v>3.798E-2</v>
      </c>
    </row>
    <row r="2005" spans="1:6" x14ac:dyDescent="0.35">
      <c r="A2005" s="2" t="s">
        <v>2609</v>
      </c>
      <c r="B2005" s="6" t="e">
        <v>#N/A</v>
      </c>
      <c r="C2005" s="2" t="e">
        <v>#N/A</v>
      </c>
      <c r="D2005" s="4">
        <v>2.8142900000000002</v>
      </c>
      <c r="E2005" s="4">
        <v>1.7006399999999999</v>
      </c>
      <c r="F2005" s="4">
        <v>3.798E-2</v>
      </c>
    </row>
    <row r="2006" spans="1:6" x14ac:dyDescent="0.35">
      <c r="A2006" s="2" t="s">
        <v>2610</v>
      </c>
      <c r="B2006" s="6" t="s">
        <v>2608</v>
      </c>
      <c r="C2006" s="2" t="s">
        <v>461</v>
      </c>
      <c r="D2006" s="4">
        <v>2.8130000000000002</v>
      </c>
      <c r="E2006" s="4">
        <v>1.7008300000000001</v>
      </c>
      <c r="F2006" s="4">
        <v>3.6499999999999998E-2</v>
      </c>
    </row>
    <row r="2007" spans="1:6" x14ac:dyDescent="0.35">
      <c r="A2007" s="2" t="s">
        <v>2611</v>
      </c>
      <c r="B2007" s="6" t="s">
        <v>2608</v>
      </c>
      <c r="C2007" s="2" t="s">
        <v>461</v>
      </c>
      <c r="D2007" s="4">
        <v>2.8130000000000002</v>
      </c>
      <c r="E2007" s="4">
        <v>1.7008300000000001</v>
      </c>
      <c r="F2007" s="4">
        <v>3.6499999999999998E-2</v>
      </c>
    </row>
    <row r="2008" spans="1:6" x14ac:dyDescent="0.35">
      <c r="A2008" s="2" t="s">
        <v>2612</v>
      </c>
      <c r="B2008" s="6" t="s">
        <v>2608</v>
      </c>
      <c r="C2008" s="2" t="s">
        <v>461</v>
      </c>
      <c r="D2008" s="4">
        <v>2.8142900000000002</v>
      </c>
      <c r="E2008" s="4">
        <v>1.7006399999999999</v>
      </c>
      <c r="F2008" s="4">
        <v>3.798E-2</v>
      </c>
    </row>
    <row r="2009" spans="1:6" x14ac:dyDescent="0.35">
      <c r="A2009" s="2" t="s">
        <v>2613</v>
      </c>
      <c r="B2009" s="6" t="e">
        <v>#N/A</v>
      </c>
      <c r="C2009" s="2" t="e">
        <v>#N/A</v>
      </c>
      <c r="D2009" s="4">
        <v>6085.4638999999997</v>
      </c>
      <c r="E2009" s="4">
        <v>6085.4638999999997</v>
      </c>
      <c r="F2009" s="4">
        <v>0</v>
      </c>
    </row>
    <row r="2010" spans="1:6" x14ac:dyDescent="0.35">
      <c r="A2010" s="2" t="s">
        <v>2614</v>
      </c>
      <c r="B2010" s="6" t="e">
        <v>#N/A</v>
      </c>
      <c r="C2010" s="2" t="e">
        <v>#N/A</v>
      </c>
      <c r="D2010" s="4">
        <v>0.66422000000000003</v>
      </c>
    </row>
    <row r="2011" spans="1:6" x14ac:dyDescent="0.35">
      <c r="A2011" s="2" t="s">
        <v>2615</v>
      </c>
      <c r="B2011" s="6" t="e">
        <v>#N/A</v>
      </c>
      <c r="C2011" s="2" t="e">
        <v>#N/A</v>
      </c>
      <c r="D2011" s="4">
        <v>1.03745</v>
      </c>
    </row>
    <row r="2012" spans="1:6" x14ac:dyDescent="0.35">
      <c r="A2012" s="2" t="s">
        <v>2616</v>
      </c>
      <c r="B2012" s="6" t="e">
        <v>#N/A</v>
      </c>
      <c r="C2012" s="2" t="e">
        <v>#N/A</v>
      </c>
      <c r="D2012" s="4">
        <v>0.12945000000000001</v>
      </c>
    </row>
    <row r="2013" spans="1:6" x14ac:dyDescent="0.35">
      <c r="A2013" s="2" t="s">
        <v>2617</v>
      </c>
      <c r="B2013" s="6" t="e">
        <v>#N/A</v>
      </c>
      <c r="C2013" s="2" t="e">
        <v>#N/A</v>
      </c>
      <c r="D2013" s="4">
        <v>0</v>
      </c>
      <c r="F2013" s="4">
        <v>0</v>
      </c>
    </row>
    <row r="2014" spans="1:6" x14ac:dyDescent="0.35">
      <c r="A2014" s="2" t="s">
        <v>2618</v>
      </c>
      <c r="B2014" s="6" t="s">
        <v>2619</v>
      </c>
      <c r="C2014" s="2" t="s">
        <v>461</v>
      </c>
      <c r="D2014" s="4">
        <v>4.8566000000000003</v>
      </c>
      <c r="E2014" s="4">
        <v>2.22628</v>
      </c>
      <c r="F2014" s="4">
        <v>5.2999999999999999E-2</v>
      </c>
    </row>
    <row r="2015" spans="1:6" x14ac:dyDescent="0.35">
      <c r="A2015" s="2" t="s">
        <v>2620</v>
      </c>
      <c r="B2015" s="6" t="s">
        <v>2619</v>
      </c>
      <c r="C2015" s="2" t="s">
        <v>461</v>
      </c>
      <c r="D2015" s="4">
        <v>4.8574599999999997</v>
      </c>
      <c r="E2015" s="4">
        <v>2.2261500000000001</v>
      </c>
      <c r="F2015" s="4">
        <v>5.3990000000000003E-2</v>
      </c>
    </row>
    <row r="2016" spans="1:6" x14ac:dyDescent="0.35">
      <c r="A2016" s="2" t="s">
        <v>2621</v>
      </c>
      <c r="B2016" s="6" t="s">
        <v>2619</v>
      </c>
      <c r="C2016" s="2" t="s">
        <v>461</v>
      </c>
      <c r="D2016" s="4">
        <v>4.8574599999999997</v>
      </c>
      <c r="E2016" s="4">
        <v>2.2261500000000001</v>
      </c>
      <c r="F2016" s="4">
        <v>5.3990000000000003E-2</v>
      </c>
    </row>
    <row r="2017" spans="1:6" x14ac:dyDescent="0.35">
      <c r="A2017" s="2" t="s">
        <v>2622</v>
      </c>
      <c r="B2017" s="6" t="s">
        <v>2619</v>
      </c>
      <c r="C2017" s="2" t="s">
        <v>461</v>
      </c>
      <c r="D2017" s="4">
        <v>3.3933200000000001</v>
      </c>
      <c r="E2017" s="4">
        <v>1.4387700000000001</v>
      </c>
      <c r="F2017" s="4">
        <v>6.8150000000000002E-2</v>
      </c>
    </row>
    <row r="2018" spans="1:6" x14ac:dyDescent="0.35">
      <c r="A2018" s="2" t="s">
        <v>2623</v>
      </c>
      <c r="B2018" s="6" t="s">
        <v>2619</v>
      </c>
      <c r="C2018" s="2" t="s">
        <v>461</v>
      </c>
      <c r="D2018" s="4">
        <v>3.3618100000000002</v>
      </c>
      <c r="E2018" s="4">
        <v>1.4401200000000001</v>
      </c>
      <c r="F2018" s="4">
        <v>5.2040000000000003E-2</v>
      </c>
    </row>
    <row r="2019" spans="1:6" x14ac:dyDescent="0.35">
      <c r="A2019" s="2" t="s">
        <v>2624</v>
      </c>
      <c r="B2019" s="6" t="s">
        <v>2619</v>
      </c>
      <c r="C2019" s="2" t="s">
        <v>461</v>
      </c>
      <c r="D2019" s="4">
        <v>3.3618100000000002</v>
      </c>
      <c r="E2019" s="4">
        <v>1.4401200000000001</v>
      </c>
      <c r="F2019" s="4">
        <v>5.2040000000000003E-2</v>
      </c>
    </row>
    <row r="2020" spans="1:6" x14ac:dyDescent="0.35">
      <c r="A2020" s="2" t="s">
        <v>2625</v>
      </c>
      <c r="B2020" s="6" t="s">
        <v>2619</v>
      </c>
      <c r="C2020" s="2" t="s">
        <v>461</v>
      </c>
      <c r="D2020" s="4">
        <v>3.3618100000000002</v>
      </c>
      <c r="E2020" s="4">
        <v>1.4401200000000001</v>
      </c>
      <c r="F2020" s="4">
        <v>5.2040000000000003E-2</v>
      </c>
    </row>
    <row r="2021" spans="1:6" x14ac:dyDescent="0.35">
      <c r="A2021" s="2" t="s">
        <v>2626</v>
      </c>
      <c r="B2021" s="6" t="e">
        <v>#N/A</v>
      </c>
      <c r="C2021" s="2" t="e">
        <v>#N/A</v>
      </c>
      <c r="D2021" s="4">
        <v>3.5070399999999999</v>
      </c>
      <c r="E2021" s="4">
        <v>1.4738100000000001</v>
      </c>
      <c r="F2021" s="4">
        <v>5.2310000000000002E-2</v>
      </c>
    </row>
    <row r="2022" spans="1:6" x14ac:dyDescent="0.35">
      <c r="A2022" s="2" t="s">
        <v>2627</v>
      </c>
      <c r="B2022" s="6" t="e">
        <v>#N/A</v>
      </c>
      <c r="C2022" s="2" t="e">
        <v>#N/A</v>
      </c>
      <c r="D2022" s="4">
        <v>3.5851700000000002</v>
      </c>
      <c r="E2022" s="4">
        <v>1.5158</v>
      </c>
      <c r="F2022" s="4">
        <v>7.1679999999999994E-2</v>
      </c>
    </row>
    <row r="2023" spans="1:6" x14ac:dyDescent="0.35">
      <c r="A2023" s="2" t="s">
        <v>2628</v>
      </c>
      <c r="B2023" s="6" t="e">
        <v>#N/A</v>
      </c>
      <c r="C2023" s="2" t="e">
        <v>#N/A</v>
      </c>
      <c r="D2023" s="4">
        <v>3.5843099999999999</v>
      </c>
      <c r="E2023" s="4">
        <v>1.51593</v>
      </c>
      <c r="F2023" s="4">
        <v>7.0690000000000003E-2</v>
      </c>
    </row>
    <row r="2024" spans="1:6" x14ac:dyDescent="0.35">
      <c r="A2024" s="2" t="s">
        <v>2629</v>
      </c>
      <c r="B2024" s="6" t="s">
        <v>2619</v>
      </c>
      <c r="C2024" s="2" t="s">
        <v>461</v>
      </c>
      <c r="D2024" s="4">
        <v>3.3609499999999999</v>
      </c>
      <c r="E2024" s="4">
        <v>1.44025</v>
      </c>
      <c r="F2024" s="4">
        <v>5.1049999999999998E-2</v>
      </c>
    </row>
    <row r="2025" spans="1:6" x14ac:dyDescent="0.35">
      <c r="A2025" s="2" t="s">
        <v>2630</v>
      </c>
      <c r="B2025" s="6" t="s">
        <v>2631</v>
      </c>
      <c r="C2025" s="2" t="s">
        <v>461</v>
      </c>
      <c r="D2025" s="4">
        <v>0</v>
      </c>
      <c r="E2025" s="4">
        <v>0</v>
      </c>
      <c r="F2025" s="4">
        <v>0</v>
      </c>
    </row>
    <row r="2026" spans="1:6" x14ac:dyDescent="0.35">
      <c r="A2026" s="2" t="s">
        <v>2632</v>
      </c>
      <c r="B2026" s="6" t="e">
        <v>#N/A</v>
      </c>
      <c r="C2026" s="2" t="e">
        <v>#N/A</v>
      </c>
      <c r="D2026" s="4">
        <v>3.5061800000000001</v>
      </c>
      <c r="E2026" s="4">
        <v>1.47394</v>
      </c>
      <c r="F2026" s="4">
        <v>5.1319999999999998E-2</v>
      </c>
    </row>
    <row r="2027" spans="1:6" x14ac:dyDescent="0.35">
      <c r="A2027" s="2" t="s">
        <v>2633</v>
      </c>
      <c r="B2027" s="6" t="e">
        <v>#N/A</v>
      </c>
      <c r="C2027" s="2" t="e">
        <v>#N/A</v>
      </c>
      <c r="D2027" s="4">
        <v>3.53857</v>
      </c>
      <c r="E2027" s="4">
        <v>1.4724600000000001</v>
      </c>
      <c r="F2027" s="4">
        <v>6.8419999999999995E-2</v>
      </c>
    </row>
    <row r="2028" spans="1:6" x14ac:dyDescent="0.35">
      <c r="A2028" s="2" t="s">
        <v>2634</v>
      </c>
      <c r="B2028" s="6" t="e">
        <v>#N/A</v>
      </c>
      <c r="C2028" s="2" t="e">
        <v>#N/A</v>
      </c>
      <c r="D2028" s="4">
        <v>3.52305</v>
      </c>
      <c r="E2028" s="4">
        <v>1.4625300000000001</v>
      </c>
      <c r="F2028" s="4">
        <v>6.5049999999999997E-2</v>
      </c>
    </row>
    <row r="2029" spans="1:6" x14ac:dyDescent="0.35">
      <c r="A2029" s="2" t="s">
        <v>2635</v>
      </c>
      <c r="B2029" s="6" t="e">
        <v>#N/A</v>
      </c>
      <c r="C2029" s="2" t="e">
        <v>#N/A</v>
      </c>
      <c r="D2029" s="4">
        <v>3.53857</v>
      </c>
      <c r="E2029" s="4">
        <v>1.4724600000000001</v>
      </c>
      <c r="F2029" s="4">
        <v>6.8419999999999995E-2</v>
      </c>
    </row>
    <row r="2030" spans="1:6" x14ac:dyDescent="0.35">
      <c r="A2030" s="2" t="s">
        <v>2636</v>
      </c>
      <c r="B2030" s="6" t="s">
        <v>2637</v>
      </c>
      <c r="C2030" s="2" t="s">
        <v>461</v>
      </c>
      <c r="D2030" s="4">
        <v>2.4668600000000001</v>
      </c>
      <c r="E2030" s="4">
        <v>1.0853999999999999</v>
      </c>
      <c r="F2030" s="4">
        <v>2.7969999999999998E-2</v>
      </c>
    </row>
    <row r="2031" spans="1:6" x14ac:dyDescent="0.35">
      <c r="A2031" s="2" t="s">
        <v>2638</v>
      </c>
      <c r="B2031" s="6" t="s">
        <v>2637</v>
      </c>
      <c r="C2031" s="2" t="s">
        <v>461</v>
      </c>
      <c r="D2031" s="4">
        <v>2.4677199999999999</v>
      </c>
      <c r="E2031" s="4">
        <v>1.08527</v>
      </c>
      <c r="F2031" s="4">
        <v>2.896E-2</v>
      </c>
    </row>
    <row r="2032" spans="1:6" x14ac:dyDescent="0.35">
      <c r="A2032" s="2" t="s">
        <v>2639</v>
      </c>
      <c r="B2032" s="6" t="s">
        <v>2637</v>
      </c>
      <c r="C2032" s="2" t="s">
        <v>461</v>
      </c>
      <c r="D2032" s="4">
        <v>2.4677199999999999</v>
      </c>
      <c r="E2032" s="4">
        <v>1.08527</v>
      </c>
      <c r="F2032" s="4">
        <v>2.896E-2</v>
      </c>
    </row>
    <row r="2033" spans="1:6" x14ac:dyDescent="0.35">
      <c r="A2033" s="2" t="s">
        <v>2640</v>
      </c>
      <c r="B2033" s="6" t="s">
        <v>2637</v>
      </c>
      <c r="C2033" s="2" t="s">
        <v>461</v>
      </c>
      <c r="D2033" s="4">
        <v>2.3019400000000001</v>
      </c>
      <c r="E2033" s="4">
        <v>0.97885</v>
      </c>
      <c r="F2033" s="4">
        <v>2.3040000000000001E-2</v>
      </c>
    </row>
    <row r="2034" spans="1:6" x14ac:dyDescent="0.35">
      <c r="A2034" s="2" t="s">
        <v>2641</v>
      </c>
      <c r="B2034" s="6" t="s">
        <v>2637</v>
      </c>
      <c r="C2034" s="2" t="s">
        <v>461</v>
      </c>
      <c r="D2034" s="4">
        <v>2.3134199999999998</v>
      </c>
      <c r="E2034" s="4">
        <v>0.98977999999999999</v>
      </c>
      <c r="F2034" s="4">
        <v>2.359E-2</v>
      </c>
    </row>
    <row r="2035" spans="1:6" x14ac:dyDescent="0.35">
      <c r="A2035" s="2" t="s">
        <v>2642</v>
      </c>
      <c r="B2035" s="6" t="s">
        <v>2637</v>
      </c>
      <c r="C2035" s="2" t="s">
        <v>461</v>
      </c>
      <c r="D2035" s="4">
        <v>2.3018399999999999</v>
      </c>
      <c r="E2035" s="4">
        <v>0.97819999999999996</v>
      </c>
      <c r="F2035" s="4">
        <v>2.359E-2</v>
      </c>
    </row>
    <row r="2036" spans="1:6" x14ac:dyDescent="0.35">
      <c r="A2036" s="2" t="s">
        <v>2643</v>
      </c>
      <c r="B2036" s="6" t="s">
        <v>2637</v>
      </c>
      <c r="C2036" s="2" t="s">
        <v>461</v>
      </c>
      <c r="D2036" s="4">
        <v>2.3443100000000001</v>
      </c>
      <c r="E2036" s="4">
        <v>1.03149</v>
      </c>
      <c r="F2036" s="4">
        <v>2.734E-2</v>
      </c>
    </row>
    <row r="2037" spans="1:6" x14ac:dyDescent="0.35">
      <c r="A2037" s="2" t="s">
        <v>2644</v>
      </c>
      <c r="B2037" s="6" t="s">
        <v>2637</v>
      </c>
      <c r="C2037" s="2" t="s">
        <v>461</v>
      </c>
      <c r="D2037" s="4">
        <v>2.3434499999999998</v>
      </c>
      <c r="E2037" s="4">
        <v>1.03162</v>
      </c>
      <c r="F2037" s="4">
        <v>2.6349999999999998E-2</v>
      </c>
    </row>
    <row r="2038" spans="1:6" x14ac:dyDescent="0.35">
      <c r="A2038" s="2" t="s">
        <v>2645</v>
      </c>
      <c r="B2038" s="6" t="s">
        <v>2637</v>
      </c>
      <c r="C2038" s="2" t="s">
        <v>461</v>
      </c>
      <c r="D2038" s="4">
        <v>2.3434499999999998</v>
      </c>
      <c r="E2038" s="4">
        <v>1.03162</v>
      </c>
      <c r="F2038" s="4">
        <v>2.6349999999999998E-2</v>
      </c>
    </row>
    <row r="2039" spans="1:6" x14ac:dyDescent="0.35">
      <c r="A2039" s="2" t="s">
        <v>2646</v>
      </c>
      <c r="B2039" s="6" t="s">
        <v>2637</v>
      </c>
      <c r="C2039" s="2" t="s">
        <v>461</v>
      </c>
      <c r="D2039" s="4">
        <v>2.3322600000000002</v>
      </c>
      <c r="E2039" s="4">
        <v>1.02983</v>
      </c>
      <c r="F2039" s="4">
        <v>2.726E-2</v>
      </c>
    </row>
    <row r="2040" spans="1:6" x14ac:dyDescent="0.35">
      <c r="A2040" s="2" t="s">
        <v>2647</v>
      </c>
      <c r="B2040" s="6" t="e">
        <v>#N/A</v>
      </c>
      <c r="C2040" s="2" t="e">
        <v>#N/A</v>
      </c>
      <c r="D2040" s="4">
        <v>2.3066800000000001</v>
      </c>
      <c r="E2040" s="4">
        <v>1.00918</v>
      </c>
      <c r="F2040" s="4">
        <v>2.6919999999999999E-2</v>
      </c>
    </row>
    <row r="2041" spans="1:6" x14ac:dyDescent="0.35">
      <c r="A2041" s="2" t="s">
        <v>2648</v>
      </c>
      <c r="B2041" s="6" t="e">
        <v>#N/A</v>
      </c>
      <c r="C2041" s="2" t="e">
        <v>#N/A</v>
      </c>
      <c r="D2041" s="4">
        <v>2.2129500000000002</v>
      </c>
      <c r="E2041" s="4">
        <v>0.91208</v>
      </c>
      <c r="F2041" s="4">
        <v>2.4109999999999999E-2</v>
      </c>
    </row>
    <row r="2042" spans="1:6" x14ac:dyDescent="0.35">
      <c r="A2042" s="2" t="s">
        <v>2649</v>
      </c>
      <c r="B2042" s="6" t="e">
        <v>#N/A</v>
      </c>
      <c r="C2042" s="2" t="e">
        <v>#N/A</v>
      </c>
      <c r="D2042" s="4">
        <v>2.2120899999999999</v>
      </c>
      <c r="E2042" s="4">
        <v>0.91220999999999997</v>
      </c>
      <c r="F2042" s="4">
        <v>2.3120000000000002E-2</v>
      </c>
    </row>
    <row r="2043" spans="1:6" x14ac:dyDescent="0.35">
      <c r="A2043" s="2" t="s">
        <v>2650</v>
      </c>
      <c r="B2043" s="6" t="s">
        <v>2637</v>
      </c>
      <c r="C2043" s="2" t="s">
        <v>461</v>
      </c>
      <c r="D2043" s="4">
        <v>2.3313999999999999</v>
      </c>
      <c r="E2043" s="4">
        <v>1.02996</v>
      </c>
      <c r="F2043" s="4">
        <v>2.6270000000000002E-2</v>
      </c>
    </row>
    <row r="2044" spans="1:6" x14ac:dyDescent="0.35">
      <c r="A2044" s="2" t="s">
        <v>2651</v>
      </c>
      <c r="B2044" s="6" t="s">
        <v>2637</v>
      </c>
      <c r="C2044" s="2" t="s">
        <v>461</v>
      </c>
      <c r="D2044" s="4">
        <v>2.3313999999999999</v>
      </c>
      <c r="E2044" s="4">
        <v>1.02996</v>
      </c>
      <c r="F2044" s="4">
        <v>2.6270000000000002E-2</v>
      </c>
    </row>
    <row r="2045" spans="1:6" x14ac:dyDescent="0.35">
      <c r="A2045" s="2" t="s">
        <v>2652</v>
      </c>
      <c r="B2045" s="6" t="e">
        <v>#N/A</v>
      </c>
      <c r="C2045" s="2" t="e">
        <v>#N/A</v>
      </c>
      <c r="D2045" s="4">
        <v>2.3313999999999999</v>
      </c>
      <c r="E2045" s="4">
        <v>1.02996</v>
      </c>
      <c r="F2045" s="4">
        <v>2.6270000000000002E-2</v>
      </c>
    </row>
    <row r="2046" spans="1:6" x14ac:dyDescent="0.35">
      <c r="A2046" s="2" t="s">
        <v>2653</v>
      </c>
      <c r="B2046" s="6" t="e">
        <v>#N/A</v>
      </c>
      <c r="C2046" s="2" t="e">
        <v>#N/A</v>
      </c>
      <c r="D2046" s="4">
        <v>2.31534</v>
      </c>
      <c r="E2046" s="4">
        <v>1.0126500000000001</v>
      </c>
      <c r="F2046" s="4">
        <v>2.5930000000000002E-2</v>
      </c>
    </row>
    <row r="2047" spans="1:6" x14ac:dyDescent="0.35">
      <c r="A2047" s="2" t="s">
        <v>2654</v>
      </c>
      <c r="B2047" s="6" t="s">
        <v>2655</v>
      </c>
      <c r="C2047" s="2" t="s">
        <v>461</v>
      </c>
      <c r="D2047" s="4">
        <v>2.3845299999999998</v>
      </c>
      <c r="E2047" s="4">
        <v>0.89773999999999998</v>
      </c>
      <c r="F2047" s="4">
        <v>2.5010000000000001E-2</v>
      </c>
    </row>
    <row r="2048" spans="1:6" x14ac:dyDescent="0.35">
      <c r="A2048" s="2" t="s">
        <v>2656</v>
      </c>
      <c r="B2048" s="6" t="s">
        <v>2655</v>
      </c>
      <c r="C2048" s="2" t="s">
        <v>461</v>
      </c>
      <c r="D2048" s="4">
        <v>2.3964300000000001</v>
      </c>
      <c r="E2048" s="4">
        <v>0.90864999999999996</v>
      </c>
      <c r="F2048" s="4">
        <v>2.5999999999999999E-2</v>
      </c>
    </row>
    <row r="2049" spans="1:6" x14ac:dyDescent="0.35">
      <c r="A2049" s="2" t="s">
        <v>2657</v>
      </c>
      <c r="B2049" s="6" t="s">
        <v>2655</v>
      </c>
      <c r="C2049" s="2" t="s">
        <v>461</v>
      </c>
      <c r="D2049" s="4">
        <v>2.4121199999999998</v>
      </c>
      <c r="E2049" s="4">
        <v>0.89551000000000003</v>
      </c>
      <c r="F2049" s="4">
        <v>2.5760000000000002E-2</v>
      </c>
    </row>
    <row r="2050" spans="1:6" x14ac:dyDescent="0.35">
      <c r="A2050" s="2" t="s">
        <v>2658</v>
      </c>
      <c r="B2050" s="6" t="s">
        <v>2655</v>
      </c>
      <c r="C2050" s="2" t="s">
        <v>461</v>
      </c>
      <c r="D2050" s="4">
        <v>2.4121199999999998</v>
      </c>
      <c r="E2050" s="4">
        <v>0.89551000000000003</v>
      </c>
      <c r="F2050" s="4">
        <v>2.5760000000000002E-2</v>
      </c>
    </row>
    <row r="2051" spans="1:6" x14ac:dyDescent="0.35">
      <c r="A2051" s="2" t="s">
        <v>2659</v>
      </c>
      <c r="B2051" s="6" t="s">
        <v>2655</v>
      </c>
      <c r="C2051" s="2" t="s">
        <v>461</v>
      </c>
      <c r="D2051" s="4">
        <v>2.5116000000000001</v>
      </c>
      <c r="E2051" s="4">
        <v>0.93500000000000005</v>
      </c>
      <c r="F2051" s="4">
        <v>2.6939999999999999E-2</v>
      </c>
    </row>
    <row r="2052" spans="1:6" x14ac:dyDescent="0.35">
      <c r="A2052" s="2" t="s">
        <v>2660</v>
      </c>
      <c r="B2052" s="6" t="s">
        <v>2655</v>
      </c>
      <c r="C2052" s="2" t="s">
        <v>461</v>
      </c>
      <c r="D2052" s="4">
        <v>2.52786</v>
      </c>
      <c r="E2052" s="4">
        <v>0.95133999999999996</v>
      </c>
      <c r="F2052" s="4">
        <v>2.6859999999999998E-2</v>
      </c>
    </row>
    <row r="2053" spans="1:6" x14ac:dyDescent="0.35">
      <c r="A2053" s="2" t="s">
        <v>2661</v>
      </c>
      <c r="B2053" s="6" t="s">
        <v>2655</v>
      </c>
      <c r="C2053" s="2" t="s">
        <v>461</v>
      </c>
      <c r="D2053" s="4">
        <v>2.5118200000000002</v>
      </c>
      <c r="E2053" s="4">
        <v>0.93518999999999997</v>
      </c>
      <c r="F2053" s="4">
        <v>2.6970000000000001E-2</v>
      </c>
    </row>
    <row r="2054" spans="1:6" x14ac:dyDescent="0.35">
      <c r="A2054" s="2" t="s">
        <v>2662</v>
      </c>
      <c r="B2054" s="6" t="s">
        <v>2655</v>
      </c>
      <c r="C2054" s="2" t="s">
        <v>461</v>
      </c>
      <c r="D2054" s="4">
        <v>2.42631</v>
      </c>
      <c r="E2054" s="4">
        <v>0.90886999999999996</v>
      </c>
      <c r="F2054" s="4">
        <v>2.6589999999999999E-2</v>
      </c>
    </row>
    <row r="2055" spans="1:6" x14ac:dyDescent="0.35">
      <c r="A2055" s="2" t="s">
        <v>2663</v>
      </c>
      <c r="B2055" s="6" t="s">
        <v>2655</v>
      </c>
      <c r="C2055" s="2" t="s">
        <v>461</v>
      </c>
      <c r="D2055" s="4">
        <v>2.52847</v>
      </c>
      <c r="E2055" s="4">
        <v>0.95101000000000002</v>
      </c>
      <c r="F2055" s="4">
        <v>2.7799999999999998E-2</v>
      </c>
    </row>
    <row r="2056" spans="1:6" x14ac:dyDescent="0.35">
      <c r="A2056" s="2" t="s">
        <v>2664</v>
      </c>
      <c r="B2056" s="6" t="s">
        <v>2655</v>
      </c>
      <c r="C2056" s="2" t="s">
        <v>461</v>
      </c>
      <c r="D2056" s="4">
        <v>2.5124599999999999</v>
      </c>
      <c r="E2056" s="4">
        <v>0.93486999999999998</v>
      </c>
      <c r="F2056" s="4">
        <v>2.793E-2</v>
      </c>
    </row>
    <row r="2057" spans="1:6" x14ac:dyDescent="0.35">
      <c r="A2057" s="2" t="s">
        <v>2665</v>
      </c>
      <c r="B2057" s="6" t="s">
        <v>2655</v>
      </c>
      <c r="C2057" s="2" t="s">
        <v>461</v>
      </c>
      <c r="D2057" s="4">
        <v>2.5116000000000001</v>
      </c>
      <c r="E2057" s="4">
        <v>0.93500000000000005</v>
      </c>
      <c r="F2057" s="4">
        <v>2.6939999999999999E-2</v>
      </c>
    </row>
    <row r="2058" spans="1:6" x14ac:dyDescent="0.35">
      <c r="A2058" s="2" t="s">
        <v>2666</v>
      </c>
      <c r="B2058" s="6" t="s">
        <v>2655</v>
      </c>
      <c r="C2058" s="2" t="s">
        <v>461</v>
      </c>
      <c r="D2058" s="4">
        <v>2.5114899999999998</v>
      </c>
      <c r="E2058" s="4">
        <v>0.93494999999999995</v>
      </c>
      <c r="F2058" s="4">
        <v>2.6939999999999999E-2</v>
      </c>
    </row>
    <row r="2059" spans="1:6" x14ac:dyDescent="0.35">
      <c r="A2059" s="2" t="s">
        <v>2667</v>
      </c>
      <c r="B2059" s="6" t="s">
        <v>2668</v>
      </c>
      <c r="C2059" s="2" t="s">
        <v>461</v>
      </c>
      <c r="D2059" s="4">
        <v>2.8014600000000001</v>
      </c>
      <c r="E2059" s="4">
        <v>1.2562500000000001</v>
      </c>
      <c r="F2059" s="4">
        <v>3.065E-2</v>
      </c>
    </row>
    <row r="2060" spans="1:6" x14ac:dyDescent="0.35">
      <c r="A2060" s="2" t="s">
        <v>2669</v>
      </c>
      <c r="B2060" s="6" t="s">
        <v>2655</v>
      </c>
      <c r="C2060" s="2" t="s">
        <v>461</v>
      </c>
      <c r="D2060" s="4">
        <v>2.5125799999999998</v>
      </c>
      <c r="E2060" s="4">
        <v>0.93501999999999996</v>
      </c>
      <c r="F2060" s="4">
        <v>2.7959999999999999E-2</v>
      </c>
    </row>
    <row r="2061" spans="1:6" x14ac:dyDescent="0.35">
      <c r="A2061" s="2" t="s">
        <v>2670</v>
      </c>
      <c r="B2061" s="6" t="s">
        <v>2655</v>
      </c>
      <c r="C2061" s="2" t="s">
        <v>461</v>
      </c>
      <c r="D2061" s="4">
        <v>2.5117099999999999</v>
      </c>
      <c r="E2061" s="4">
        <v>0.93513999999999997</v>
      </c>
      <c r="F2061" s="4">
        <v>2.6970000000000001E-2</v>
      </c>
    </row>
    <row r="2062" spans="1:6" x14ac:dyDescent="0.35">
      <c r="A2062" s="2" t="s">
        <v>2671</v>
      </c>
      <c r="B2062" s="6" t="s">
        <v>2655</v>
      </c>
      <c r="C2062" s="2" t="s">
        <v>461</v>
      </c>
      <c r="D2062" s="4">
        <v>2.4121199999999998</v>
      </c>
      <c r="E2062" s="4">
        <v>0.89551000000000003</v>
      </c>
      <c r="F2062" s="4">
        <v>2.5760000000000002E-2</v>
      </c>
    </row>
    <row r="2063" spans="1:6" x14ac:dyDescent="0.35">
      <c r="A2063" s="2" t="s">
        <v>2672</v>
      </c>
      <c r="B2063" s="6" t="s">
        <v>2655</v>
      </c>
      <c r="C2063" s="2" t="s">
        <v>461</v>
      </c>
      <c r="D2063" s="4">
        <v>2.4112399999999998</v>
      </c>
      <c r="E2063" s="4">
        <v>0.89363999999999999</v>
      </c>
      <c r="F2063" s="4">
        <v>2.6749999999999999E-2</v>
      </c>
    </row>
    <row r="2064" spans="1:6" x14ac:dyDescent="0.35">
      <c r="A2064" s="2" t="s">
        <v>2673</v>
      </c>
      <c r="B2064" s="6" t="e">
        <v>#N/A</v>
      </c>
      <c r="C2064" s="2" t="e">
        <v>#N/A</v>
      </c>
      <c r="D2064" s="4">
        <v>4.6168199999999997</v>
      </c>
      <c r="E2064" s="4">
        <v>3.0338699999999998</v>
      </c>
      <c r="F2064" s="4">
        <v>0.14344000000000001</v>
      </c>
    </row>
    <row r="2065" spans="1:6" x14ac:dyDescent="0.35">
      <c r="A2065" s="2" t="s">
        <v>2674</v>
      </c>
      <c r="B2065" s="6" t="e">
        <v>#N/A</v>
      </c>
      <c r="C2065" s="2" t="e">
        <v>#N/A</v>
      </c>
      <c r="D2065" s="4">
        <v>3.9898199999999999</v>
      </c>
      <c r="E2065" s="4">
        <v>2.4401199999999998</v>
      </c>
      <c r="F2065" s="4">
        <v>0.11019</v>
      </c>
    </row>
    <row r="2066" spans="1:6" x14ac:dyDescent="0.35">
      <c r="A2066" s="2" t="s">
        <v>2675</v>
      </c>
      <c r="B2066" s="6" t="e">
        <v>#N/A</v>
      </c>
      <c r="C2066" s="2" t="e">
        <v>#N/A</v>
      </c>
      <c r="D2066" s="4">
        <v>4.6159600000000003</v>
      </c>
      <c r="E2066" s="4">
        <v>3.0339999999999998</v>
      </c>
      <c r="F2066" s="4">
        <v>0.14244999999999999</v>
      </c>
    </row>
    <row r="2067" spans="1:6" x14ac:dyDescent="0.35">
      <c r="A2067" s="2" t="s">
        <v>2676</v>
      </c>
      <c r="B2067" s="6" t="s">
        <v>2655</v>
      </c>
      <c r="C2067" s="2" t="s">
        <v>461</v>
      </c>
      <c r="D2067" s="4">
        <v>2.38727</v>
      </c>
      <c r="E2067" s="4">
        <v>0.90047999999999995</v>
      </c>
      <c r="F2067" s="4">
        <v>2.5010000000000001E-2</v>
      </c>
    </row>
    <row r="2068" spans="1:6" x14ac:dyDescent="0.35">
      <c r="A2068" s="2" t="s">
        <v>2677</v>
      </c>
      <c r="B2068" s="6" t="s">
        <v>2655</v>
      </c>
      <c r="C2068" s="2" t="s">
        <v>461</v>
      </c>
      <c r="D2068" s="4">
        <v>2.38727</v>
      </c>
      <c r="E2068" s="4">
        <v>0.90047999999999995</v>
      </c>
      <c r="F2068" s="4">
        <v>2.5010000000000001E-2</v>
      </c>
    </row>
    <row r="2069" spans="1:6" x14ac:dyDescent="0.35">
      <c r="A2069" s="2" t="s">
        <v>2678</v>
      </c>
      <c r="B2069" s="6" t="s">
        <v>2655</v>
      </c>
      <c r="C2069" s="2" t="s">
        <v>461</v>
      </c>
      <c r="D2069" s="4">
        <v>2.3897400000000002</v>
      </c>
      <c r="E2069" s="4">
        <v>0.90295000000000003</v>
      </c>
      <c r="F2069" s="4">
        <v>2.5010000000000001E-2</v>
      </c>
    </row>
    <row r="2070" spans="1:6" x14ac:dyDescent="0.35">
      <c r="A2070" s="2" t="s">
        <v>2679</v>
      </c>
      <c r="B2070" s="6" t="s">
        <v>2655</v>
      </c>
      <c r="C2070" s="2" t="s">
        <v>461</v>
      </c>
      <c r="D2070" s="4">
        <v>2.3777900000000001</v>
      </c>
      <c r="E2070" s="4">
        <v>0.88934000000000002</v>
      </c>
      <c r="F2070" s="4">
        <v>2.504E-2</v>
      </c>
    </row>
    <row r="2071" spans="1:6" x14ac:dyDescent="0.35">
      <c r="A2071" s="2" t="s">
        <v>2680</v>
      </c>
      <c r="B2071" s="6" t="s">
        <v>2655</v>
      </c>
      <c r="C2071" s="2" t="s">
        <v>461</v>
      </c>
      <c r="D2071" s="4">
        <v>2.3749699999999998</v>
      </c>
      <c r="E2071" s="4">
        <v>0.88817999999999997</v>
      </c>
      <c r="F2071" s="4">
        <v>2.5010000000000001E-2</v>
      </c>
    </row>
    <row r="2072" spans="1:6" x14ac:dyDescent="0.35">
      <c r="A2072" s="2" t="s">
        <v>2681</v>
      </c>
      <c r="B2072" s="6" t="s">
        <v>2655</v>
      </c>
      <c r="C2072" s="2" t="s">
        <v>461</v>
      </c>
      <c r="D2072" s="4">
        <v>2.3759899999999998</v>
      </c>
      <c r="E2072" s="4">
        <v>0.88643000000000005</v>
      </c>
      <c r="F2072" s="4">
        <v>2.615E-2</v>
      </c>
    </row>
    <row r="2073" spans="1:6" x14ac:dyDescent="0.35">
      <c r="A2073" s="2" t="s">
        <v>2682</v>
      </c>
      <c r="B2073" s="6" t="s">
        <v>2655</v>
      </c>
      <c r="C2073" s="2" t="s">
        <v>461</v>
      </c>
      <c r="D2073" s="4">
        <v>2.3600300000000001</v>
      </c>
      <c r="E2073" s="4">
        <v>0.87312000000000001</v>
      </c>
      <c r="F2073" s="4">
        <v>2.513E-2</v>
      </c>
    </row>
    <row r="2074" spans="1:6" x14ac:dyDescent="0.35">
      <c r="A2074" s="2" t="s">
        <v>2683</v>
      </c>
      <c r="B2074" s="6" t="s">
        <v>2655</v>
      </c>
      <c r="C2074" s="2" t="s">
        <v>461</v>
      </c>
      <c r="D2074" s="4">
        <v>2.41222</v>
      </c>
      <c r="E2074" s="4">
        <v>0.92715999999999998</v>
      </c>
      <c r="F2074" s="4">
        <v>2.5190000000000001E-2</v>
      </c>
    </row>
    <row r="2075" spans="1:6" x14ac:dyDescent="0.35">
      <c r="A2075" s="2" t="s">
        <v>2684</v>
      </c>
      <c r="B2075" s="6" t="s">
        <v>2655</v>
      </c>
      <c r="C2075" s="2" t="s">
        <v>461</v>
      </c>
      <c r="D2075" s="4">
        <v>2.38727</v>
      </c>
      <c r="E2075" s="4">
        <v>0.90047999999999995</v>
      </c>
      <c r="F2075" s="4">
        <v>2.5010000000000001E-2</v>
      </c>
    </row>
    <row r="2076" spans="1:6" x14ac:dyDescent="0.35">
      <c r="A2076" s="2" t="s">
        <v>2685</v>
      </c>
      <c r="B2076" s="6" t="s">
        <v>2655</v>
      </c>
      <c r="C2076" s="2" t="s">
        <v>461</v>
      </c>
      <c r="D2076" s="4">
        <v>2.3731800000000001</v>
      </c>
      <c r="E2076" s="4">
        <v>0.88527999999999996</v>
      </c>
      <c r="F2076" s="4">
        <v>2.6120000000000001E-2</v>
      </c>
    </row>
    <row r="2077" spans="1:6" x14ac:dyDescent="0.35">
      <c r="A2077" s="2" t="s">
        <v>2686</v>
      </c>
      <c r="B2077" s="6" t="s">
        <v>2655</v>
      </c>
      <c r="C2077" s="2" t="s">
        <v>461</v>
      </c>
      <c r="D2077" s="4">
        <v>2.4245100000000002</v>
      </c>
      <c r="E2077" s="4">
        <v>0.93945000000000001</v>
      </c>
      <c r="F2077" s="4">
        <v>2.5190000000000001E-2</v>
      </c>
    </row>
    <row r="2078" spans="1:6" x14ac:dyDescent="0.35">
      <c r="A2078" s="2" t="s">
        <v>2687</v>
      </c>
      <c r="B2078" s="6" t="s">
        <v>2655</v>
      </c>
      <c r="C2078" s="2" t="s">
        <v>461</v>
      </c>
      <c r="D2078" s="4">
        <v>2.38727</v>
      </c>
      <c r="E2078" s="4">
        <v>0.90047999999999995</v>
      </c>
      <c r="F2078" s="4">
        <v>2.5010000000000001E-2</v>
      </c>
    </row>
    <row r="2079" spans="1:6" x14ac:dyDescent="0.35">
      <c r="A2079" s="2" t="s">
        <v>2688</v>
      </c>
      <c r="B2079" s="6" t="s">
        <v>2655</v>
      </c>
      <c r="C2079" s="2" t="s">
        <v>461</v>
      </c>
      <c r="D2079" s="4">
        <v>2.3881299999999999</v>
      </c>
      <c r="E2079" s="4">
        <v>0.90034999999999998</v>
      </c>
      <c r="F2079" s="4">
        <v>2.5999999999999999E-2</v>
      </c>
    </row>
    <row r="2080" spans="1:6" x14ac:dyDescent="0.35">
      <c r="A2080" s="2" t="s">
        <v>2689</v>
      </c>
      <c r="B2080" s="6" t="s">
        <v>2655</v>
      </c>
      <c r="C2080" s="2" t="s">
        <v>461</v>
      </c>
      <c r="D2080" s="4">
        <v>2.38727</v>
      </c>
      <c r="E2080" s="4">
        <v>0.90047999999999995</v>
      </c>
      <c r="F2080" s="4">
        <v>2.5010000000000001E-2</v>
      </c>
    </row>
    <row r="2081" spans="1:6" x14ac:dyDescent="0.35">
      <c r="A2081" s="2" t="s">
        <v>2690</v>
      </c>
      <c r="B2081" s="6" t="s">
        <v>2655</v>
      </c>
      <c r="C2081" s="2" t="s">
        <v>461</v>
      </c>
      <c r="D2081" s="4">
        <v>2.38727</v>
      </c>
      <c r="E2081" s="4">
        <v>0.90047999999999995</v>
      </c>
      <c r="F2081" s="4">
        <v>2.5010000000000001E-2</v>
      </c>
    </row>
    <row r="2082" spans="1:6" x14ac:dyDescent="0.35">
      <c r="A2082" s="2" t="s">
        <v>2691</v>
      </c>
      <c r="B2082" s="6" t="s">
        <v>2655</v>
      </c>
      <c r="C2082" s="2" t="s">
        <v>461</v>
      </c>
      <c r="D2082" s="4">
        <v>2.38727</v>
      </c>
      <c r="E2082" s="4">
        <v>0.90047999999999995</v>
      </c>
      <c r="F2082" s="4">
        <v>2.5010000000000001E-2</v>
      </c>
    </row>
    <row r="2083" spans="1:6" x14ac:dyDescent="0.35">
      <c r="A2083" s="2" t="s">
        <v>2692</v>
      </c>
      <c r="B2083" s="6" t="s">
        <v>2655</v>
      </c>
      <c r="C2083" s="2" t="s">
        <v>461</v>
      </c>
      <c r="D2083" s="4">
        <v>2.3881299999999999</v>
      </c>
      <c r="E2083" s="4">
        <v>0.90034999999999998</v>
      </c>
      <c r="F2083" s="4">
        <v>2.5999999999999999E-2</v>
      </c>
    </row>
    <row r="2084" spans="1:6" x14ac:dyDescent="0.35">
      <c r="A2084" s="2" t="s">
        <v>2693</v>
      </c>
      <c r="B2084" s="6" t="s">
        <v>2655</v>
      </c>
      <c r="C2084" s="2" t="s">
        <v>461</v>
      </c>
      <c r="D2084" s="4">
        <v>2.3759899999999998</v>
      </c>
      <c r="E2084" s="4">
        <v>0.88643000000000005</v>
      </c>
      <c r="F2084" s="4">
        <v>2.615E-2</v>
      </c>
    </row>
    <row r="2085" spans="1:6" x14ac:dyDescent="0.35">
      <c r="A2085" s="2" t="s">
        <v>2694</v>
      </c>
      <c r="B2085" s="6" t="s">
        <v>2655</v>
      </c>
      <c r="C2085" s="2" t="s">
        <v>461</v>
      </c>
      <c r="D2085" s="4">
        <v>2.37513</v>
      </c>
      <c r="E2085" s="4">
        <v>0.88656000000000001</v>
      </c>
      <c r="F2085" s="4">
        <v>2.5159999999999998E-2</v>
      </c>
    </row>
    <row r="2086" spans="1:6" x14ac:dyDescent="0.35">
      <c r="A2086" s="2" t="s">
        <v>2695</v>
      </c>
      <c r="B2086" s="6" t="s">
        <v>2655</v>
      </c>
      <c r="C2086" s="2" t="s">
        <v>461</v>
      </c>
      <c r="D2086" s="4">
        <v>2.38727</v>
      </c>
      <c r="E2086" s="4">
        <v>0.90047999999999995</v>
      </c>
      <c r="F2086" s="4">
        <v>2.5010000000000001E-2</v>
      </c>
    </row>
    <row r="2087" spans="1:6" x14ac:dyDescent="0.35">
      <c r="A2087" s="2" t="s">
        <v>2696</v>
      </c>
      <c r="B2087" s="6" t="s">
        <v>2655</v>
      </c>
      <c r="C2087" s="2" t="s">
        <v>461</v>
      </c>
      <c r="D2087" s="4">
        <v>2.38727</v>
      </c>
      <c r="E2087" s="4">
        <v>0.90047999999999995</v>
      </c>
      <c r="F2087" s="4">
        <v>2.5010000000000001E-2</v>
      </c>
    </row>
    <row r="2088" spans="1:6" x14ac:dyDescent="0.35">
      <c r="A2088" s="2" t="s">
        <v>2697</v>
      </c>
      <c r="B2088" s="6" t="s">
        <v>2655</v>
      </c>
      <c r="C2088" s="2" t="s">
        <v>461</v>
      </c>
      <c r="D2088" s="4">
        <v>2.37513</v>
      </c>
      <c r="E2088" s="4">
        <v>0.88656000000000001</v>
      </c>
      <c r="F2088" s="4">
        <v>2.5159999999999998E-2</v>
      </c>
    </row>
    <row r="2089" spans="1:6" x14ac:dyDescent="0.35">
      <c r="A2089" s="2" t="s">
        <v>2698</v>
      </c>
      <c r="B2089" s="6" t="s">
        <v>2655</v>
      </c>
      <c r="C2089" s="2" t="s">
        <v>461</v>
      </c>
      <c r="D2089" s="4">
        <v>2.38727</v>
      </c>
      <c r="E2089" s="4">
        <v>0.90047999999999995</v>
      </c>
      <c r="F2089" s="4">
        <v>2.5010000000000001E-2</v>
      </c>
    </row>
    <row r="2090" spans="1:6" x14ac:dyDescent="0.35">
      <c r="A2090" s="2" t="s">
        <v>2699</v>
      </c>
      <c r="B2090" s="6" t="s">
        <v>2655</v>
      </c>
      <c r="C2090" s="2" t="s">
        <v>461</v>
      </c>
      <c r="D2090" s="4">
        <v>2.38727</v>
      </c>
      <c r="E2090" s="4">
        <v>0.90047999999999995</v>
      </c>
      <c r="F2090" s="4">
        <v>2.5010000000000001E-2</v>
      </c>
    </row>
    <row r="2091" spans="1:6" x14ac:dyDescent="0.35">
      <c r="A2091" s="2" t="s">
        <v>2700</v>
      </c>
      <c r="B2091" s="6" t="s">
        <v>2655</v>
      </c>
      <c r="C2091" s="2" t="s">
        <v>461</v>
      </c>
      <c r="D2091" s="4">
        <v>2.3872900000000001</v>
      </c>
      <c r="E2091" s="4">
        <v>0.90047999999999995</v>
      </c>
      <c r="F2091" s="4">
        <v>2.5010000000000001E-2</v>
      </c>
    </row>
    <row r="2092" spans="1:6" x14ac:dyDescent="0.35">
      <c r="A2092" s="2" t="s">
        <v>2701</v>
      </c>
      <c r="B2092" s="6" t="s">
        <v>2655</v>
      </c>
      <c r="C2092" s="2" t="s">
        <v>461</v>
      </c>
      <c r="D2092" s="4">
        <v>2.4380999999999999</v>
      </c>
      <c r="E2092" s="4">
        <v>0.92161999999999999</v>
      </c>
      <c r="F2092" s="4">
        <v>2.5600000000000001E-2</v>
      </c>
    </row>
    <row r="2093" spans="1:6" x14ac:dyDescent="0.35">
      <c r="A2093" s="2" t="s">
        <v>2702</v>
      </c>
      <c r="B2093" s="6" t="s">
        <v>2655</v>
      </c>
      <c r="C2093" s="2" t="s">
        <v>461</v>
      </c>
      <c r="D2093" s="4">
        <v>2.4389599999999998</v>
      </c>
      <c r="E2093" s="4">
        <v>0.92149000000000003</v>
      </c>
      <c r="F2093" s="4">
        <v>2.6589999999999999E-2</v>
      </c>
    </row>
    <row r="2094" spans="1:6" x14ac:dyDescent="0.35">
      <c r="A2094" s="2" t="s">
        <v>2703</v>
      </c>
      <c r="B2094" s="6" t="s">
        <v>2655</v>
      </c>
      <c r="C2094" s="2" t="s">
        <v>461</v>
      </c>
      <c r="D2094" s="4">
        <v>2.4380999999999999</v>
      </c>
      <c r="E2094" s="4">
        <v>0.92161999999999999</v>
      </c>
      <c r="F2094" s="4">
        <v>2.5600000000000001E-2</v>
      </c>
    </row>
    <row r="2095" spans="1:6" x14ac:dyDescent="0.35">
      <c r="A2095" s="2" t="s">
        <v>2704</v>
      </c>
      <c r="B2095" s="6" t="s">
        <v>2655</v>
      </c>
      <c r="C2095" s="2" t="s">
        <v>461</v>
      </c>
      <c r="D2095" s="4">
        <v>2.4380999999999999</v>
      </c>
      <c r="E2095" s="4">
        <v>0.92161999999999999</v>
      </c>
      <c r="F2095" s="4">
        <v>2.5600000000000001E-2</v>
      </c>
    </row>
    <row r="2096" spans="1:6" x14ac:dyDescent="0.35">
      <c r="A2096" s="2" t="s">
        <v>2705</v>
      </c>
      <c r="B2096" s="6" t="e">
        <v>#N/A</v>
      </c>
      <c r="C2096" s="2" t="e">
        <v>#N/A</v>
      </c>
      <c r="D2096" s="4">
        <v>2.4380999999999999</v>
      </c>
      <c r="E2096" s="4">
        <v>0.92161999999999999</v>
      </c>
      <c r="F2096" s="4">
        <v>2.5600000000000001E-2</v>
      </c>
    </row>
    <row r="2097" spans="1:6" x14ac:dyDescent="0.35">
      <c r="A2097" s="2" t="s">
        <v>2706</v>
      </c>
      <c r="B2097" s="6" t="s">
        <v>2655</v>
      </c>
      <c r="C2097" s="2" t="s">
        <v>461</v>
      </c>
      <c r="D2097" s="4">
        <v>2.4380999999999999</v>
      </c>
      <c r="E2097" s="4">
        <v>0.92161999999999999</v>
      </c>
      <c r="F2097" s="4">
        <v>2.5600000000000001E-2</v>
      </c>
    </row>
    <row r="2098" spans="1:6" x14ac:dyDescent="0.35">
      <c r="A2098" s="2" t="s">
        <v>2707</v>
      </c>
      <c r="B2098" s="6" t="s">
        <v>2655</v>
      </c>
      <c r="C2098" s="2" t="s">
        <v>461</v>
      </c>
      <c r="D2098" s="4">
        <v>2.4236499999999999</v>
      </c>
      <c r="E2098" s="4">
        <v>0.90605000000000002</v>
      </c>
      <c r="F2098" s="4">
        <v>2.6720000000000001E-2</v>
      </c>
    </row>
    <row r="2099" spans="1:6" x14ac:dyDescent="0.35">
      <c r="A2099" s="2" t="s">
        <v>2708</v>
      </c>
      <c r="B2099" s="6" t="s">
        <v>2655</v>
      </c>
      <c r="C2099" s="2" t="s">
        <v>461</v>
      </c>
      <c r="D2099" s="4">
        <v>2.3955700000000002</v>
      </c>
      <c r="E2099" s="4">
        <v>0.90878000000000003</v>
      </c>
      <c r="F2099" s="4">
        <v>2.5010000000000001E-2</v>
      </c>
    </row>
    <row r="2100" spans="1:6" x14ac:dyDescent="0.35">
      <c r="A2100" s="2" t="s">
        <v>2709</v>
      </c>
      <c r="B2100" s="6" t="s">
        <v>2655</v>
      </c>
      <c r="C2100" s="2" t="s">
        <v>461</v>
      </c>
      <c r="D2100" s="4">
        <v>2.38727</v>
      </c>
      <c r="E2100" s="4">
        <v>0.90047999999999995</v>
      </c>
      <c r="F2100" s="4">
        <v>2.5010000000000001E-2</v>
      </c>
    </row>
    <row r="2101" spans="1:6" x14ac:dyDescent="0.35">
      <c r="A2101" s="2" t="s">
        <v>2710</v>
      </c>
      <c r="B2101" s="6" t="s">
        <v>2711</v>
      </c>
      <c r="C2101" s="2" t="s">
        <v>461</v>
      </c>
      <c r="D2101" s="4">
        <v>3.42964</v>
      </c>
      <c r="E2101" s="4">
        <v>1.7342900000000001</v>
      </c>
      <c r="F2101" s="4">
        <v>3.5770000000000003E-2</v>
      </c>
    </row>
    <row r="2102" spans="1:6" x14ac:dyDescent="0.35">
      <c r="A2102" s="2" t="s">
        <v>2712</v>
      </c>
      <c r="B2102" s="6" t="s">
        <v>2711</v>
      </c>
      <c r="C2102" s="2" t="s">
        <v>461</v>
      </c>
      <c r="D2102" s="4">
        <v>3.42964</v>
      </c>
      <c r="E2102" s="4">
        <v>1.7342900000000001</v>
      </c>
      <c r="F2102" s="4">
        <v>3.5770000000000003E-2</v>
      </c>
    </row>
    <row r="2103" spans="1:6" x14ac:dyDescent="0.35">
      <c r="A2103" s="2" t="s">
        <v>2713</v>
      </c>
      <c r="B2103" s="6" t="s">
        <v>2711</v>
      </c>
      <c r="C2103" s="2" t="s">
        <v>461</v>
      </c>
      <c r="D2103" s="4">
        <v>3.4304999999999999</v>
      </c>
      <c r="E2103" s="4">
        <v>1.7341599999999999</v>
      </c>
      <c r="F2103" s="4">
        <v>3.6760000000000001E-2</v>
      </c>
    </row>
    <row r="2104" spans="1:6" x14ac:dyDescent="0.35">
      <c r="A2104" s="2" t="s">
        <v>2714</v>
      </c>
      <c r="B2104" s="6" t="s">
        <v>2711</v>
      </c>
      <c r="C2104" s="2" t="s">
        <v>461</v>
      </c>
      <c r="D2104" s="4">
        <v>3.4304999999999999</v>
      </c>
      <c r="E2104" s="4">
        <v>1.7341599999999999</v>
      </c>
      <c r="F2104" s="4">
        <v>3.6760000000000001E-2</v>
      </c>
    </row>
    <row r="2105" spans="1:6" x14ac:dyDescent="0.35">
      <c r="A2105" s="2" t="s">
        <v>2715</v>
      </c>
      <c r="B2105" s="6" t="s">
        <v>2711</v>
      </c>
      <c r="C2105" s="2" t="s">
        <v>461</v>
      </c>
      <c r="D2105" s="4">
        <v>3.4304999999999999</v>
      </c>
      <c r="E2105" s="4">
        <v>1.7341599999999999</v>
      </c>
      <c r="F2105" s="4">
        <v>3.6760000000000001E-2</v>
      </c>
    </row>
    <row r="2106" spans="1:6" x14ac:dyDescent="0.35">
      <c r="A2106" s="2" t="s">
        <v>2716</v>
      </c>
      <c r="B2106" s="6" t="s">
        <v>2711</v>
      </c>
      <c r="C2106" s="2" t="s">
        <v>461</v>
      </c>
      <c r="D2106" s="4">
        <v>3.4304999999999999</v>
      </c>
      <c r="E2106" s="4">
        <v>1.7341599999999999</v>
      </c>
      <c r="F2106" s="4">
        <v>3.6760000000000001E-2</v>
      </c>
    </row>
    <row r="2107" spans="1:6" x14ac:dyDescent="0.35">
      <c r="A2107" s="2" t="s">
        <v>2717</v>
      </c>
      <c r="B2107" s="6" t="e">
        <v>#N/A</v>
      </c>
      <c r="C2107" s="2" t="e">
        <v>#N/A</v>
      </c>
      <c r="D2107" s="4">
        <v>2.8693900000000001</v>
      </c>
      <c r="E2107" s="4">
        <v>1.2486299999999999</v>
      </c>
      <c r="F2107" s="4">
        <v>2.8719999999999999E-2</v>
      </c>
    </row>
    <row r="2108" spans="1:6" x14ac:dyDescent="0.35">
      <c r="A2108" s="2" t="s">
        <v>2718</v>
      </c>
      <c r="B2108" s="6" t="e">
        <v>#N/A</v>
      </c>
      <c r="C2108" s="2" t="e">
        <v>#N/A</v>
      </c>
      <c r="D2108" s="4">
        <v>2.8685299999999998</v>
      </c>
      <c r="E2108" s="4">
        <v>1.2487600000000001</v>
      </c>
      <c r="F2108" s="4">
        <v>2.7730000000000001E-2</v>
      </c>
    </row>
    <row r="2109" spans="1:6" x14ac:dyDescent="0.35">
      <c r="A2109" s="2" t="s">
        <v>2719</v>
      </c>
      <c r="B2109" s="6" t="s">
        <v>2711</v>
      </c>
      <c r="C2109" s="2" t="s">
        <v>461</v>
      </c>
      <c r="D2109" s="4">
        <v>2.8693900000000001</v>
      </c>
      <c r="E2109" s="4">
        <v>1.2486299999999999</v>
      </c>
      <c r="F2109" s="4">
        <v>2.8719999999999999E-2</v>
      </c>
    </row>
    <row r="2110" spans="1:6" x14ac:dyDescent="0.35">
      <c r="A2110" s="2" t="s">
        <v>2720</v>
      </c>
      <c r="B2110" s="6" t="e">
        <v>#N/A</v>
      </c>
      <c r="C2110" s="2" t="e">
        <v>#N/A</v>
      </c>
      <c r="D2110" s="4">
        <v>2.8685299999999998</v>
      </c>
      <c r="E2110" s="4">
        <v>1.2487600000000001</v>
      </c>
      <c r="F2110" s="4">
        <v>2.7730000000000001E-2</v>
      </c>
    </row>
    <row r="2111" spans="1:6" x14ac:dyDescent="0.35">
      <c r="A2111" s="2" t="s">
        <v>2721</v>
      </c>
      <c r="B2111" s="6" t="s">
        <v>2711</v>
      </c>
      <c r="C2111" s="2" t="s">
        <v>461</v>
      </c>
      <c r="D2111" s="4">
        <v>2.8670300000000002</v>
      </c>
      <c r="E2111" s="4">
        <v>1.24726</v>
      </c>
      <c r="F2111" s="4">
        <v>2.7730000000000001E-2</v>
      </c>
    </row>
    <row r="2112" spans="1:6" x14ac:dyDescent="0.35">
      <c r="A2112" s="2" t="s">
        <v>2722</v>
      </c>
      <c r="B2112" s="6" t="e">
        <v>#N/A</v>
      </c>
      <c r="C2112" s="2" t="e">
        <v>#N/A</v>
      </c>
      <c r="D2112" s="4">
        <v>2.8685299999999998</v>
      </c>
      <c r="E2112" s="4">
        <v>1.2487600000000001</v>
      </c>
      <c r="F2112" s="4">
        <v>2.7730000000000001E-2</v>
      </c>
    </row>
    <row r="2113" spans="1:6" x14ac:dyDescent="0.35">
      <c r="A2113" s="2" t="s">
        <v>2723</v>
      </c>
      <c r="B2113" s="6" t="e">
        <v>#N/A</v>
      </c>
      <c r="C2113" s="2" t="e">
        <v>#N/A</v>
      </c>
      <c r="D2113" s="4">
        <v>3.1655000000000002</v>
      </c>
      <c r="E2113" s="4">
        <v>1.4748699999999999</v>
      </c>
      <c r="F2113" s="4">
        <v>3.1050000000000001E-2</v>
      </c>
    </row>
    <row r="2114" spans="1:6" x14ac:dyDescent="0.35">
      <c r="A2114" s="2" t="s">
        <v>2724</v>
      </c>
      <c r="B2114" s="6" t="e">
        <v>#N/A</v>
      </c>
      <c r="C2114" s="2" t="e">
        <v>#N/A</v>
      </c>
      <c r="D2114" s="4">
        <v>3.1507100000000001</v>
      </c>
      <c r="E2114" s="4">
        <v>1.46008</v>
      </c>
      <c r="F2114" s="4">
        <v>3.1050000000000001E-2</v>
      </c>
    </row>
    <row r="2115" spans="1:6" x14ac:dyDescent="0.35">
      <c r="A2115" s="2" t="s">
        <v>2725</v>
      </c>
      <c r="B2115" s="6" t="e">
        <v>#N/A</v>
      </c>
      <c r="C2115" s="2" t="e">
        <v>#N/A</v>
      </c>
      <c r="D2115" s="4">
        <v>3.1498499999999998</v>
      </c>
      <c r="E2115" s="4">
        <v>1.46021</v>
      </c>
      <c r="F2115" s="4">
        <v>3.006E-2</v>
      </c>
    </row>
    <row r="2116" spans="1:6" x14ac:dyDescent="0.35">
      <c r="A2116" s="2" t="s">
        <v>2726</v>
      </c>
      <c r="B2116" s="6" t="e">
        <v>#N/A</v>
      </c>
      <c r="C2116" s="2" t="e">
        <v>#N/A</v>
      </c>
      <c r="D2116" s="4">
        <v>4.0995799999999996</v>
      </c>
      <c r="E2116" s="4">
        <v>2.3797999999999999</v>
      </c>
      <c r="F2116" s="4">
        <v>9.8449999999999996E-2</v>
      </c>
    </row>
    <row r="2117" spans="1:6" x14ac:dyDescent="0.35">
      <c r="A2117" s="2" t="s">
        <v>2727</v>
      </c>
      <c r="B2117" s="6" t="e">
        <v>#N/A</v>
      </c>
      <c r="C2117" s="2" t="e">
        <v>#N/A</v>
      </c>
      <c r="D2117" s="4">
        <v>4.0995799999999996</v>
      </c>
      <c r="E2117" s="4">
        <v>2.3797999999999999</v>
      </c>
      <c r="F2117" s="4">
        <v>9.8449999999999996E-2</v>
      </c>
    </row>
    <row r="2118" spans="1:6" x14ac:dyDescent="0.35">
      <c r="A2118" s="2" t="s">
        <v>2728</v>
      </c>
      <c r="B2118" s="6" t="e">
        <v>#N/A</v>
      </c>
      <c r="C2118" s="2" t="e">
        <v>#N/A</v>
      </c>
      <c r="D2118" s="4">
        <v>4.0987200000000001</v>
      </c>
      <c r="E2118" s="4">
        <v>2.3799299999999999</v>
      </c>
      <c r="F2118" s="4">
        <v>9.7460000000000005E-2</v>
      </c>
    </row>
    <row r="2119" spans="1:6" x14ac:dyDescent="0.35">
      <c r="A2119" s="2" t="s">
        <v>2729</v>
      </c>
      <c r="B2119" s="6" t="e">
        <v>#N/A</v>
      </c>
      <c r="C2119" s="2" t="e">
        <v>#N/A</v>
      </c>
      <c r="D2119" s="4">
        <v>3.7829600000000001</v>
      </c>
      <c r="E2119" s="4">
        <v>2.11348</v>
      </c>
      <c r="F2119" s="4">
        <v>3.9989999999999998E-2</v>
      </c>
    </row>
    <row r="2120" spans="1:6" x14ac:dyDescent="0.35">
      <c r="A2120" s="2" t="s">
        <v>2730</v>
      </c>
      <c r="B2120" s="6" t="e">
        <v>#N/A</v>
      </c>
      <c r="C2120" s="2" t="e">
        <v>#N/A</v>
      </c>
      <c r="D2120" s="4">
        <v>3.7829600000000001</v>
      </c>
      <c r="E2120" s="4">
        <v>2.11348</v>
      </c>
      <c r="F2120" s="4">
        <v>3.9989999999999998E-2</v>
      </c>
    </row>
    <row r="2121" spans="1:6" x14ac:dyDescent="0.35">
      <c r="A2121" s="2" t="s">
        <v>2731</v>
      </c>
      <c r="B2121" s="6" t="e">
        <v>#N/A</v>
      </c>
      <c r="C2121" s="2" t="e">
        <v>#N/A</v>
      </c>
      <c r="D2121" s="4">
        <v>3.7829600000000001</v>
      </c>
      <c r="E2121" s="4">
        <v>2.11348</v>
      </c>
      <c r="F2121" s="4">
        <v>3.9989999999999998E-2</v>
      </c>
    </row>
    <row r="2122" spans="1:6" x14ac:dyDescent="0.35">
      <c r="A2122" s="2" t="s">
        <v>2732</v>
      </c>
      <c r="B2122" s="6" t="e">
        <v>#N/A</v>
      </c>
      <c r="C2122" s="2" t="e">
        <v>#N/A</v>
      </c>
      <c r="D2122" s="4">
        <v>4.2571300000000001</v>
      </c>
      <c r="E2122" s="4">
        <v>2.3950399999999998</v>
      </c>
      <c r="F2122" s="4">
        <v>4.6339999999999999E-2</v>
      </c>
    </row>
    <row r="2123" spans="1:6" x14ac:dyDescent="0.35">
      <c r="A2123" s="2" t="s">
        <v>2733</v>
      </c>
      <c r="B2123" s="6" t="e">
        <v>#N/A</v>
      </c>
      <c r="C2123" s="2" t="e">
        <v>#N/A</v>
      </c>
      <c r="D2123" s="4">
        <v>4.2571300000000001</v>
      </c>
      <c r="E2123" s="4">
        <v>2.3950399999999998</v>
      </c>
      <c r="F2123" s="4">
        <v>4.6339999999999999E-2</v>
      </c>
    </row>
    <row r="2124" spans="1:6" x14ac:dyDescent="0.35">
      <c r="A2124" s="2" t="s">
        <v>2734</v>
      </c>
      <c r="B2124" s="6" t="e">
        <v>#N/A</v>
      </c>
      <c r="C2124" s="2" t="e">
        <v>#N/A</v>
      </c>
      <c r="D2124" s="4">
        <v>3.78382</v>
      </c>
      <c r="E2124" s="4">
        <v>2.1133500000000001</v>
      </c>
      <c r="F2124" s="4">
        <v>4.0980000000000003E-2</v>
      </c>
    </row>
    <row r="2125" spans="1:6" x14ac:dyDescent="0.35">
      <c r="A2125" s="2" t="s">
        <v>2735</v>
      </c>
      <c r="B2125" s="6" t="e">
        <v>#N/A</v>
      </c>
      <c r="C2125" s="2" t="e">
        <v>#N/A</v>
      </c>
      <c r="D2125" s="4">
        <v>3.78382</v>
      </c>
      <c r="E2125" s="4">
        <v>2.1133500000000001</v>
      </c>
      <c r="F2125" s="4">
        <v>4.0980000000000003E-2</v>
      </c>
    </row>
    <row r="2126" spans="1:6" x14ac:dyDescent="0.35">
      <c r="A2126" s="2" t="s">
        <v>2736</v>
      </c>
      <c r="B2126" s="6" t="e">
        <v>#N/A</v>
      </c>
      <c r="C2126" s="2" t="e">
        <v>#N/A</v>
      </c>
      <c r="D2126" s="4">
        <v>3.78382</v>
      </c>
      <c r="E2126" s="4">
        <v>2.1133500000000001</v>
      </c>
      <c r="F2126" s="4">
        <v>4.0980000000000003E-2</v>
      </c>
    </row>
    <row r="2127" spans="1:6" x14ac:dyDescent="0.35">
      <c r="A2127" s="2" t="s">
        <v>2737</v>
      </c>
      <c r="B2127" s="6" t="e">
        <v>#N/A</v>
      </c>
      <c r="C2127" s="2" t="e">
        <v>#N/A</v>
      </c>
      <c r="D2127" s="4">
        <v>3.78382</v>
      </c>
      <c r="E2127" s="4">
        <v>2.1133500000000001</v>
      </c>
      <c r="F2127" s="4">
        <v>4.0980000000000003E-2</v>
      </c>
    </row>
    <row r="2128" spans="1:6" x14ac:dyDescent="0.35">
      <c r="A2128" s="2" t="s">
        <v>2738</v>
      </c>
      <c r="B2128" s="6" t="s">
        <v>2739</v>
      </c>
      <c r="C2128" s="2" t="s">
        <v>461</v>
      </c>
      <c r="D2128" s="4">
        <v>2.8700399999999999</v>
      </c>
      <c r="E2128" s="4">
        <v>1.35219</v>
      </c>
      <c r="F2128" s="4">
        <v>3.125E-2</v>
      </c>
    </row>
    <row r="2129" spans="1:6" x14ac:dyDescent="0.35">
      <c r="A2129" s="2" t="s">
        <v>2740</v>
      </c>
      <c r="B2129" s="6" t="s">
        <v>2739</v>
      </c>
      <c r="C2129" s="2" t="s">
        <v>461</v>
      </c>
      <c r="D2129" s="4">
        <v>2.9504899999999998</v>
      </c>
      <c r="E2129" s="4">
        <v>1.38008</v>
      </c>
      <c r="F2129" s="4">
        <v>5.7349999999999998E-2</v>
      </c>
    </row>
    <row r="2130" spans="1:6" x14ac:dyDescent="0.35">
      <c r="A2130" s="2" t="s">
        <v>2741</v>
      </c>
      <c r="B2130" s="6" t="s">
        <v>2739</v>
      </c>
      <c r="C2130" s="2" t="s">
        <v>461</v>
      </c>
      <c r="D2130" s="4">
        <v>2.8691800000000001</v>
      </c>
      <c r="E2130" s="4">
        <v>1.35232</v>
      </c>
      <c r="F2130" s="4">
        <v>3.0259999999999999E-2</v>
      </c>
    </row>
    <row r="2131" spans="1:6" x14ac:dyDescent="0.35">
      <c r="A2131" s="2" t="s">
        <v>2742</v>
      </c>
      <c r="B2131" s="6" t="e">
        <v>#N/A</v>
      </c>
      <c r="C2131" s="2" t="e">
        <v>#N/A</v>
      </c>
      <c r="D2131" s="4">
        <v>2.8691800000000001</v>
      </c>
      <c r="E2131" s="4">
        <v>1.35232</v>
      </c>
      <c r="F2131" s="4">
        <v>3.0259999999999999E-2</v>
      </c>
    </row>
    <row r="2132" spans="1:6" x14ac:dyDescent="0.35">
      <c r="A2132" s="2" t="s">
        <v>2743</v>
      </c>
      <c r="B2132" s="6" t="e">
        <v>#N/A</v>
      </c>
      <c r="C2132" s="2" t="e">
        <v>#N/A</v>
      </c>
      <c r="D2132" s="4">
        <v>3.3797299999999999</v>
      </c>
      <c r="E2132" s="4">
        <v>1.68564</v>
      </c>
      <c r="F2132" s="4">
        <v>7.2760000000000005E-2</v>
      </c>
    </row>
    <row r="2133" spans="1:6" x14ac:dyDescent="0.35">
      <c r="A2133" s="2" t="s">
        <v>2744</v>
      </c>
      <c r="B2133" s="6" t="e">
        <v>#N/A</v>
      </c>
      <c r="C2133" s="2" t="e">
        <v>#N/A</v>
      </c>
      <c r="D2133" s="4">
        <v>3.3797299999999999</v>
      </c>
      <c r="E2133" s="4">
        <v>1.68564</v>
      </c>
      <c r="F2133" s="4">
        <v>7.2760000000000005E-2</v>
      </c>
    </row>
    <row r="2134" spans="1:6" x14ac:dyDescent="0.35">
      <c r="A2134" s="2" t="s">
        <v>2745</v>
      </c>
      <c r="B2134" s="6" t="e">
        <v>#N/A</v>
      </c>
      <c r="C2134" s="2" t="e">
        <v>#N/A</v>
      </c>
      <c r="D2134" s="4">
        <v>3.37887</v>
      </c>
      <c r="E2134" s="4">
        <v>1.68577</v>
      </c>
      <c r="F2134" s="4">
        <v>7.177E-2</v>
      </c>
    </row>
    <row r="2135" spans="1:6" x14ac:dyDescent="0.35">
      <c r="A2135" s="2" t="s">
        <v>2746</v>
      </c>
      <c r="B2135" s="6" t="e">
        <v>#N/A</v>
      </c>
      <c r="C2135" s="2" t="e">
        <v>#N/A</v>
      </c>
      <c r="D2135" s="4">
        <v>3.8098200000000002</v>
      </c>
      <c r="E2135" s="4">
        <v>2.2026599999999998</v>
      </c>
      <c r="F2135" s="4">
        <v>7.6799999999999993E-2</v>
      </c>
    </row>
    <row r="2136" spans="1:6" x14ac:dyDescent="0.35">
      <c r="A2136" s="2" t="s">
        <v>2747</v>
      </c>
      <c r="B2136" s="6" t="e">
        <v>#N/A</v>
      </c>
      <c r="C2136" s="2" t="e">
        <v>#N/A</v>
      </c>
      <c r="D2136" s="4">
        <v>4.0135100000000001</v>
      </c>
      <c r="E2136" s="4">
        <v>2.3372099999999998</v>
      </c>
      <c r="F2136" s="4">
        <v>0.1144</v>
      </c>
    </row>
    <row r="2137" spans="1:6" x14ac:dyDescent="0.35">
      <c r="A2137" s="2" t="s">
        <v>2748</v>
      </c>
      <c r="B2137" s="6" t="e">
        <v>#N/A</v>
      </c>
      <c r="C2137" s="2" t="e">
        <v>#N/A</v>
      </c>
      <c r="D2137" s="4">
        <v>4.0126499999999998</v>
      </c>
      <c r="E2137" s="4">
        <v>2.3373400000000002</v>
      </c>
      <c r="F2137" s="4">
        <v>0.11341</v>
      </c>
    </row>
    <row r="2138" spans="1:6" x14ac:dyDescent="0.35">
      <c r="A2138" s="2" t="s">
        <v>2749</v>
      </c>
      <c r="B2138" s="6" t="e">
        <v>#N/A</v>
      </c>
      <c r="C2138" s="2" t="e">
        <v>#N/A</v>
      </c>
      <c r="D2138" s="4">
        <v>3.8089599999999999</v>
      </c>
      <c r="E2138" s="4">
        <v>2.2027899999999998</v>
      </c>
      <c r="F2138" s="4">
        <v>7.5810000000000002E-2</v>
      </c>
    </row>
    <row r="2139" spans="1:6" x14ac:dyDescent="0.35">
      <c r="A2139" s="2" t="s">
        <v>2750</v>
      </c>
      <c r="B2139" s="6" t="s">
        <v>2739</v>
      </c>
      <c r="C2139" s="2" t="s">
        <v>461</v>
      </c>
      <c r="D2139" s="4">
        <v>3.1686999999999999</v>
      </c>
      <c r="E2139" s="4">
        <v>1.51285</v>
      </c>
      <c r="F2139" s="4">
        <v>3.4520000000000002E-2</v>
      </c>
    </row>
    <row r="2140" spans="1:6" x14ac:dyDescent="0.35">
      <c r="A2140" s="2" t="s">
        <v>2751</v>
      </c>
      <c r="B2140" s="6" t="e">
        <v>#N/A</v>
      </c>
      <c r="C2140" s="2" t="e">
        <v>#N/A</v>
      </c>
      <c r="D2140" s="4">
        <v>3.1686999999999999</v>
      </c>
      <c r="E2140" s="4">
        <v>1.51285</v>
      </c>
      <c r="F2140" s="4">
        <v>3.4520000000000002E-2</v>
      </c>
    </row>
    <row r="2141" spans="1:6" x14ac:dyDescent="0.35">
      <c r="A2141" s="2" t="s">
        <v>2752</v>
      </c>
      <c r="B2141" s="6" t="e">
        <v>#N/A</v>
      </c>
      <c r="C2141" s="2" t="e">
        <v>#N/A</v>
      </c>
      <c r="D2141" s="4">
        <v>3.5695299999999999</v>
      </c>
      <c r="E2141" s="4">
        <v>1.8438699999999999</v>
      </c>
      <c r="F2141" s="4">
        <v>6.9839999999999999E-2</v>
      </c>
    </row>
    <row r="2142" spans="1:6" x14ac:dyDescent="0.35">
      <c r="A2142" s="2" t="s">
        <v>2753</v>
      </c>
      <c r="B2142" s="6" t="s">
        <v>2739</v>
      </c>
      <c r="C2142" s="2" t="s">
        <v>461</v>
      </c>
      <c r="D2142" s="4">
        <v>3.16784</v>
      </c>
      <c r="E2142" s="4">
        <v>1.51298</v>
      </c>
      <c r="F2142" s="4">
        <v>3.3529999999999997E-2</v>
      </c>
    </row>
    <row r="2143" spans="1:6" x14ac:dyDescent="0.35">
      <c r="A2143" s="2" t="s">
        <v>2754</v>
      </c>
      <c r="B2143" s="6" t="e">
        <v>#N/A</v>
      </c>
      <c r="C2143" s="2" t="e">
        <v>#N/A</v>
      </c>
      <c r="D2143" s="4">
        <v>3.56867</v>
      </c>
      <c r="E2143" s="4">
        <v>1.8440000000000001</v>
      </c>
      <c r="F2143" s="4">
        <v>6.8849999999999995E-2</v>
      </c>
    </row>
    <row r="2144" spans="1:6" x14ac:dyDescent="0.35">
      <c r="A2144" s="2" t="s">
        <v>2755</v>
      </c>
      <c r="B2144" s="6" t="s">
        <v>2739</v>
      </c>
      <c r="C2144" s="2" t="s">
        <v>461</v>
      </c>
      <c r="D2144" s="4">
        <v>3.16784</v>
      </c>
      <c r="E2144" s="4">
        <v>1.51298</v>
      </c>
      <c r="F2144" s="4">
        <v>3.3529999999999997E-2</v>
      </c>
    </row>
    <row r="2145" spans="1:6" x14ac:dyDescent="0.35">
      <c r="A2145" s="2" t="s">
        <v>2756</v>
      </c>
      <c r="B2145" s="6" t="e">
        <v>#N/A</v>
      </c>
      <c r="C2145" s="2" t="e">
        <v>#N/A</v>
      </c>
      <c r="D2145" s="4">
        <v>3.16784</v>
      </c>
      <c r="E2145" s="4">
        <v>1.51298</v>
      </c>
      <c r="F2145" s="4">
        <v>3.3529999999999997E-2</v>
      </c>
    </row>
    <row r="2146" spans="1:6" x14ac:dyDescent="0.35">
      <c r="A2146" s="2" t="s">
        <v>2757</v>
      </c>
      <c r="B2146" s="6" t="s">
        <v>2758</v>
      </c>
      <c r="C2146" s="2" t="s">
        <v>461</v>
      </c>
      <c r="D2146" s="4">
        <v>0</v>
      </c>
      <c r="F2146" s="4">
        <v>0</v>
      </c>
    </row>
    <row r="2147" spans="1:6" x14ac:dyDescent="0.35">
      <c r="A2147" s="2" t="s">
        <v>2759</v>
      </c>
      <c r="B2147" s="6" t="s">
        <v>2760</v>
      </c>
      <c r="C2147" s="2" t="s">
        <v>461</v>
      </c>
      <c r="D2147" s="4">
        <v>2.5968100000000001</v>
      </c>
      <c r="E2147" s="4">
        <v>1.23149</v>
      </c>
      <c r="F2147" s="4">
        <v>5.219E-2</v>
      </c>
    </row>
    <row r="2148" spans="1:6" x14ac:dyDescent="0.35">
      <c r="A2148" s="2" t="s">
        <v>2761</v>
      </c>
      <c r="B2148" s="6" t="s">
        <v>2760</v>
      </c>
      <c r="C2148" s="2" t="s">
        <v>461</v>
      </c>
      <c r="D2148" s="4">
        <v>2.64777</v>
      </c>
      <c r="E2148" s="4">
        <v>1.30796</v>
      </c>
      <c r="F2148" s="4">
        <v>2.6679999999999999E-2</v>
      </c>
    </row>
    <row r="2149" spans="1:6" x14ac:dyDescent="0.35">
      <c r="A2149" s="2" t="s">
        <v>2762</v>
      </c>
      <c r="B2149" s="6" t="s">
        <v>2760</v>
      </c>
      <c r="C2149" s="2" t="s">
        <v>461</v>
      </c>
      <c r="D2149" s="4">
        <v>2.64777</v>
      </c>
      <c r="E2149" s="4">
        <v>1.30796</v>
      </c>
      <c r="F2149" s="4">
        <v>2.6679999999999999E-2</v>
      </c>
    </row>
    <row r="2150" spans="1:6" x14ac:dyDescent="0.35">
      <c r="A2150" s="2" t="s">
        <v>2763</v>
      </c>
      <c r="B2150" s="6" t="s">
        <v>2760</v>
      </c>
      <c r="C2150" s="2" t="s">
        <v>461</v>
      </c>
      <c r="D2150" s="4">
        <v>2.7387600000000001</v>
      </c>
      <c r="E2150" s="4">
        <v>1.3908400000000001</v>
      </c>
      <c r="F2150" s="4">
        <v>3.4790000000000001E-2</v>
      </c>
    </row>
    <row r="2151" spans="1:6" x14ac:dyDescent="0.35">
      <c r="A2151" s="2" t="s">
        <v>2764</v>
      </c>
      <c r="B2151" s="6" t="s">
        <v>2760</v>
      </c>
      <c r="C2151" s="2" t="s">
        <v>461</v>
      </c>
      <c r="D2151" s="4">
        <v>2.6476899999999999</v>
      </c>
      <c r="E2151" s="4">
        <v>1.2743100000000001</v>
      </c>
      <c r="F2151" s="4">
        <v>6.0249999999999998E-2</v>
      </c>
    </row>
    <row r="2152" spans="1:6" x14ac:dyDescent="0.35">
      <c r="A2152" s="2" t="s">
        <v>2765</v>
      </c>
      <c r="B2152" s="6" t="s">
        <v>2760</v>
      </c>
      <c r="C2152" s="2" t="s">
        <v>461</v>
      </c>
      <c r="D2152" s="4">
        <v>2.70608</v>
      </c>
      <c r="E2152" s="4">
        <v>1.3582099999999999</v>
      </c>
      <c r="F2152" s="4">
        <v>3.474E-2</v>
      </c>
    </row>
    <row r="2153" spans="1:6" x14ac:dyDescent="0.35">
      <c r="A2153" s="2" t="s">
        <v>2766</v>
      </c>
      <c r="B2153" s="6" t="s">
        <v>2760</v>
      </c>
      <c r="C2153" s="2" t="s">
        <v>461</v>
      </c>
      <c r="D2153" s="4">
        <v>2.6508600000000002</v>
      </c>
      <c r="E2153" s="4">
        <v>1.2774799999999999</v>
      </c>
      <c r="F2153" s="4">
        <v>6.0249999999999998E-2</v>
      </c>
    </row>
    <row r="2154" spans="1:6" x14ac:dyDescent="0.35">
      <c r="A2154" s="2" t="s">
        <v>2767</v>
      </c>
      <c r="B2154" s="6" t="s">
        <v>2760</v>
      </c>
      <c r="C2154" s="2" t="s">
        <v>461</v>
      </c>
      <c r="D2154" s="4">
        <v>2.69875</v>
      </c>
      <c r="E2154" s="4">
        <v>1.29878</v>
      </c>
      <c r="F2154" s="4">
        <v>6.164E-2</v>
      </c>
    </row>
    <row r="2155" spans="1:6" x14ac:dyDescent="0.35">
      <c r="A2155" s="2" t="s">
        <v>2768</v>
      </c>
      <c r="B2155" s="6" t="s">
        <v>2760</v>
      </c>
      <c r="C2155" s="2" t="s">
        <v>461</v>
      </c>
      <c r="D2155" s="4">
        <v>2.75176</v>
      </c>
      <c r="E2155" s="4">
        <v>1.3769100000000001</v>
      </c>
      <c r="F2155" s="4">
        <v>3.6519999999999997E-2</v>
      </c>
    </row>
    <row r="2156" spans="1:6" x14ac:dyDescent="0.35">
      <c r="A2156" s="2" t="s">
        <v>2769</v>
      </c>
      <c r="B2156" s="6" t="s">
        <v>2760</v>
      </c>
      <c r="C2156" s="2" t="s">
        <v>461</v>
      </c>
      <c r="D2156" s="4">
        <v>2.7767499999999998</v>
      </c>
      <c r="E2156" s="4">
        <v>1.40008</v>
      </c>
      <c r="F2156" s="4">
        <v>3.8339999999999999E-2</v>
      </c>
    </row>
    <row r="2157" spans="1:6" x14ac:dyDescent="0.35">
      <c r="A2157" s="2" t="s">
        <v>2770</v>
      </c>
      <c r="B2157" s="6" t="s">
        <v>2760</v>
      </c>
      <c r="C2157" s="2" t="s">
        <v>461</v>
      </c>
      <c r="D2157" s="4">
        <v>2.7508900000000001</v>
      </c>
      <c r="E2157" s="4">
        <v>1.37703</v>
      </c>
      <c r="F2157" s="4">
        <v>3.5529999999999999E-2</v>
      </c>
    </row>
    <row r="2158" spans="1:6" x14ac:dyDescent="0.35">
      <c r="A2158" s="2" t="s">
        <v>2771</v>
      </c>
      <c r="B2158" s="6" t="s">
        <v>2760</v>
      </c>
      <c r="C2158" s="2" t="s">
        <v>461</v>
      </c>
      <c r="D2158" s="4">
        <v>2.7633999999999999</v>
      </c>
      <c r="E2158" s="4">
        <v>1.3895200000000001</v>
      </c>
      <c r="F2158" s="4">
        <v>3.5549999999999998E-2</v>
      </c>
    </row>
    <row r="2159" spans="1:6" x14ac:dyDescent="0.35">
      <c r="A2159" s="2" t="s">
        <v>2772</v>
      </c>
      <c r="B2159" s="6" t="s">
        <v>2760</v>
      </c>
      <c r="C2159" s="2" t="s">
        <v>461</v>
      </c>
      <c r="D2159" s="4">
        <v>2.75176</v>
      </c>
      <c r="E2159" s="4">
        <v>1.3769100000000001</v>
      </c>
      <c r="F2159" s="4">
        <v>3.6519999999999997E-2</v>
      </c>
    </row>
    <row r="2160" spans="1:6" x14ac:dyDescent="0.35">
      <c r="A2160" s="2" t="s">
        <v>2773</v>
      </c>
      <c r="B2160" s="6" t="s">
        <v>2760</v>
      </c>
      <c r="C2160" s="2" t="s">
        <v>461</v>
      </c>
      <c r="D2160" s="4">
        <v>2.7508900000000001</v>
      </c>
      <c r="E2160" s="4">
        <v>1.37703</v>
      </c>
      <c r="F2160" s="4">
        <v>3.5529999999999999E-2</v>
      </c>
    </row>
    <row r="2161" spans="1:6" x14ac:dyDescent="0.35">
      <c r="A2161" s="2" t="s">
        <v>2774</v>
      </c>
      <c r="B2161" s="6" t="s">
        <v>2760</v>
      </c>
      <c r="C2161" s="2" t="s">
        <v>461</v>
      </c>
      <c r="D2161" s="4">
        <v>2.7642600000000002</v>
      </c>
      <c r="E2161" s="4">
        <v>1.3893899999999999</v>
      </c>
      <c r="F2161" s="4">
        <v>3.6540000000000003E-2</v>
      </c>
    </row>
    <row r="2162" spans="1:6" x14ac:dyDescent="0.35">
      <c r="A2162" s="2" t="s">
        <v>2775</v>
      </c>
      <c r="B2162" s="6" t="s">
        <v>2760</v>
      </c>
      <c r="C2162" s="2" t="s">
        <v>461</v>
      </c>
      <c r="D2162" s="4">
        <v>2.75576</v>
      </c>
      <c r="E2162" s="4">
        <v>1.3818999999999999</v>
      </c>
      <c r="F2162" s="4">
        <v>3.5529999999999999E-2</v>
      </c>
    </row>
    <row r="2163" spans="1:6" x14ac:dyDescent="0.35">
      <c r="A2163" s="2" t="s">
        <v>2776</v>
      </c>
      <c r="B2163" s="6" t="s">
        <v>2760</v>
      </c>
      <c r="C2163" s="2" t="s">
        <v>461</v>
      </c>
      <c r="D2163" s="4">
        <v>2.5998000000000001</v>
      </c>
      <c r="E2163" s="4">
        <v>1.23437</v>
      </c>
      <c r="F2163" s="4">
        <v>5.2299999999999999E-2</v>
      </c>
    </row>
    <row r="2164" spans="1:6" x14ac:dyDescent="0.35">
      <c r="A2164" s="2" t="s">
        <v>2777</v>
      </c>
      <c r="B2164" s="6" t="s">
        <v>2760</v>
      </c>
      <c r="C2164" s="2" t="s">
        <v>461</v>
      </c>
      <c r="D2164" s="4">
        <v>2.6543000000000001</v>
      </c>
      <c r="E2164" s="4">
        <v>1.3143800000000001</v>
      </c>
      <c r="F2164" s="4">
        <v>2.6790000000000001E-2</v>
      </c>
    </row>
    <row r="2165" spans="1:6" x14ac:dyDescent="0.35">
      <c r="A2165" s="2" t="s">
        <v>2778</v>
      </c>
      <c r="B2165" s="6" t="s">
        <v>2760</v>
      </c>
      <c r="C2165" s="2" t="s">
        <v>461</v>
      </c>
      <c r="D2165" s="4">
        <v>2.70608</v>
      </c>
      <c r="E2165" s="4">
        <v>1.3582099999999999</v>
      </c>
      <c r="F2165" s="4">
        <v>3.474E-2</v>
      </c>
    </row>
    <row r="2166" spans="1:6" x14ac:dyDescent="0.35">
      <c r="A2166" s="2" t="s">
        <v>2779</v>
      </c>
      <c r="B2166" s="6" t="s">
        <v>2760</v>
      </c>
      <c r="C2166" s="2" t="s">
        <v>461</v>
      </c>
      <c r="D2166" s="4">
        <v>2.6994799999999999</v>
      </c>
      <c r="E2166" s="4">
        <v>1.3506400000000001</v>
      </c>
      <c r="F2166" s="4">
        <v>3.5709999999999999E-2</v>
      </c>
    </row>
    <row r="2167" spans="1:6" x14ac:dyDescent="0.35">
      <c r="A2167" s="2" t="s">
        <v>2780</v>
      </c>
      <c r="B2167" s="6" t="s">
        <v>2760</v>
      </c>
      <c r="C2167" s="2" t="s">
        <v>461</v>
      </c>
      <c r="D2167" s="4">
        <v>2.69862</v>
      </c>
      <c r="E2167" s="4">
        <v>1.35077</v>
      </c>
      <c r="F2167" s="4">
        <v>3.4720000000000001E-2</v>
      </c>
    </row>
    <row r="2168" spans="1:6" x14ac:dyDescent="0.35">
      <c r="A2168" s="2" t="s">
        <v>2781</v>
      </c>
      <c r="B2168" s="6" t="s">
        <v>2760</v>
      </c>
      <c r="C2168" s="2" t="s">
        <v>461</v>
      </c>
      <c r="D2168" s="4">
        <v>2.6947199999999998</v>
      </c>
      <c r="E2168" s="4">
        <v>1.34588</v>
      </c>
      <c r="F2168" s="4">
        <v>3.5709999999999999E-2</v>
      </c>
    </row>
    <row r="2169" spans="1:6" x14ac:dyDescent="0.35">
      <c r="A2169" s="2" t="s">
        <v>2782</v>
      </c>
      <c r="B2169" s="6" t="s">
        <v>2760</v>
      </c>
      <c r="C2169" s="2" t="s">
        <v>461</v>
      </c>
      <c r="D2169" s="4">
        <v>2.48366</v>
      </c>
      <c r="E2169" s="4">
        <v>1.23505</v>
      </c>
      <c r="F2169" s="4">
        <v>3.2530000000000003E-2</v>
      </c>
    </row>
    <row r="2170" spans="1:6" x14ac:dyDescent="0.35">
      <c r="A2170" s="2" t="s">
        <v>2783</v>
      </c>
      <c r="B2170" s="6" t="s">
        <v>2760</v>
      </c>
      <c r="C2170" s="2" t="s">
        <v>461</v>
      </c>
      <c r="D2170" s="4">
        <v>2.63476</v>
      </c>
      <c r="E2170" s="4">
        <v>1.2693300000000001</v>
      </c>
      <c r="F2170" s="4">
        <v>5.2299999999999999E-2</v>
      </c>
    </row>
    <row r="2171" spans="1:6" x14ac:dyDescent="0.35">
      <c r="A2171" s="2" t="s">
        <v>2784</v>
      </c>
      <c r="B2171" s="6" t="s">
        <v>2760</v>
      </c>
      <c r="C2171" s="2" t="s">
        <v>461</v>
      </c>
      <c r="D2171" s="4">
        <v>2.8409</v>
      </c>
      <c r="E2171" s="4">
        <v>1.3782000000000001</v>
      </c>
      <c r="F2171" s="4">
        <v>5.5789999999999999E-2</v>
      </c>
    </row>
    <row r="2172" spans="1:6" x14ac:dyDescent="0.35">
      <c r="A2172" s="2" t="s">
        <v>2785</v>
      </c>
      <c r="B2172" s="6" t="s">
        <v>2760</v>
      </c>
      <c r="C2172" s="2" t="s">
        <v>461</v>
      </c>
      <c r="D2172" s="4">
        <v>2.66425</v>
      </c>
      <c r="E2172" s="4">
        <v>1.2724200000000001</v>
      </c>
      <c r="F2172" s="4">
        <v>5.3499999999999999E-2</v>
      </c>
    </row>
    <row r="2173" spans="1:6" x14ac:dyDescent="0.35">
      <c r="A2173" s="2" t="s">
        <v>2786</v>
      </c>
      <c r="B2173" s="6" t="s">
        <v>2760</v>
      </c>
      <c r="C2173" s="2" t="s">
        <v>461</v>
      </c>
      <c r="D2173" s="4">
        <v>2.7298</v>
      </c>
      <c r="E2173" s="4">
        <v>1.36304</v>
      </c>
      <c r="F2173" s="4">
        <v>2.843E-2</v>
      </c>
    </row>
    <row r="2174" spans="1:6" x14ac:dyDescent="0.35">
      <c r="A2174" s="2" t="s">
        <v>2787</v>
      </c>
      <c r="B2174" s="6" t="s">
        <v>2760</v>
      </c>
      <c r="C2174" s="2" t="s">
        <v>461</v>
      </c>
      <c r="D2174" s="4">
        <v>2.7164299999999999</v>
      </c>
      <c r="E2174" s="4">
        <v>1.3506899999999999</v>
      </c>
      <c r="F2174" s="4">
        <v>2.741E-2</v>
      </c>
    </row>
    <row r="2175" spans="1:6" x14ac:dyDescent="0.35">
      <c r="A2175" s="2" t="s">
        <v>2788</v>
      </c>
      <c r="B2175" s="6" t="s">
        <v>2760</v>
      </c>
      <c r="C2175" s="2" t="s">
        <v>461</v>
      </c>
      <c r="D2175" s="4">
        <v>2.45932</v>
      </c>
      <c r="E2175" s="4">
        <v>1.0916999999999999</v>
      </c>
      <c r="F2175" s="4">
        <v>2.929E-2</v>
      </c>
    </row>
    <row r="2176" spans="1:6" x14ac:dyDescent="0.35">
      <c r="A2176" s="2" t="s">
        <v>2789</v>
      </c>
      <c r="B2176" s="6" t="s">
        <v>2760</v>
      </c>
      <c r="C2176" s="2" t="s">
        <v>461</v>
      </c>
      <c r="D2176" s="4">
        <v>2.75779</v>
      </c>
      <c r="E2176" s="4">
        <v>1.3919699999999999</v>
      </c>
      <c r="F2176" s="4">
        <v>2.7490000000000001E-2</v>
      </c>
    </row>
    <row r="2177" spans="1:6" x14ac:dyDescent="0.35">
      <c r="A2177" s="2" t="s">
        <v>2790</v>
      </c>
      <c r="B2177" s="6" t="s">
        <v>2791</v>
      </c>
      <c r="C2177" s="2" t="s">
        <v>461</v>
      </c>
      <c r="D2177" s="4">
        <v>2.41534</v>
      </c>
      <c r="E2177" s="4">
        <v>1.38063</v>
      </c>
      <c r="F2177" s="4">
        <v>2.6540000000000001E-2</v>
      </c>
    </row>
    <row r="2178" spans="1:6" x14ac:dyDescent="0.35">
      <c r="A2178" s="2" t="s">
        <v>2792</v>
      </c>
      <c r="B2178" s="6" t="s">
        <v>2791</v>
      </c>
      <c r="C2178" s="2" t="s">
        <v>461</v>
      </c>
      <c r="D2178" s="4">
        <v>3.2078199999999999</v>
      </c>
      <c r="E2178" s="4">
        <v>2.1724199999999998</v>
      </c>
      <c r="F2178" s="4">
        <v>2.7230000000000001E-2</v>
      </c>
    </row>
    <row r="2179" spans="1:6" x14ac:dyDescent="0.35">
      <c r="A2179" s="2" t="s">
        <v>2793</v>
      </c>
      <c r="B2179" s="6" t="s">
        <v>2791</v>
      </c>
      <c r="C2179" s="2" t="s">
        <v>461</v>
      </c>
      <c r="D2179" s="4">
        <v>3.2091099999999999</v>
      </c>
      <c r="E2179" s="4">
        <v>2.1722299999999999</v>
      </c>
      <c r="F2179" s="4">
        <v>2.8709999999999999E-2</v>
      </c>
    </row>
    <row r="2180" spans="1:6" x14ac:dyDescent="0.35">
      <c r="A2180" s="2" t="s">
        <v>2794</v>
      </c>
      <c r="B2180" s="6" t="s">
        <v>2791</v>
      </c>
      <c r="C2180" s="2" t="s">
        <v>461</v>
      </c>
      <c r="D2180" s="4">
        <v>3.2091099999999999</v>
      </c>
      <c r="E2180" s="4">
        <v>2.1722299999999999</v>
      </c>
      <c r="F2180" s="4">
        <v>2.8709999999999999E-2</v>
      </c>
    </row>
    <row r="2181" spans="1:6" x14ac:dyDescent="0.35">
      <c r="A2181" s="2" t="s">
        <v>2795</v>
      </c>
      <c r="B2181" s="6" t="s">
        <v>2791</v>
      </c>
      <c r="C2181" s="2" t="s">
        <v>461</v>
      </c>
      <c r="D2181" s="4">
        <v>3.2078199999999999</v>
      </c>
      <c r="E2181" s="4">
        <v>2.1724199999999998</v>
      </c>
      <c r="F2181" s="4">
        <v>2.7230000000000001E-2</v>
      </c>
    </row>
    <row r="2182" spans="1:6" x14ac:dyDescent="0.35">
      <c r="A2182" s="2" t="s">
        <v>2796</v>
      </c>
      <c r="B2182" s="6" t="s">
        <v>2791</v>
      </c>
      <c r="C2182" s="2" t="s">
        <v>461</v>
      </c>
      <c r="D2182" s="4">
        <v>2.4419200000000001</v>
      </c>
      <c r="E2182" s="4">
        <v>1.33402</v>
      </c>
      <c r="F2182" s="4">
        <v>3.388E-2</v>
      </c>
    </row>
    <row r="2183" spans="1:6" x14ac:dyDescent="0.35">
      <c r="A2183" s="2" t="s">
        <v>2797</v>
      </c>
      <c r="B2183" s="6" t="s">
        <v>2791</v>
      </c>
      <c r="C2183" s="2" t="s">
        <v>461</v>
      </c>
      <c r="D2183" s="4">
        <v>2.4725899999999998</v>
      </c>
      <c r="E2183" s="4">
        <v>1.3628199999999999</v>
      </c>
      <c r="F2183" s="4">
        <v>4.1799999999999997E-2</v>
      </c>
    </row>
    <row r="2184" spans="1:6" x14ac:dyDescent="0.35">
      <c r="A2184" s="2" t="s">
        <v>2798</v>
      </c>
      <c r="B2184" s="6" t="s">
        <v>2791</v>
      </c>
      <c r="C2184" s="2" t="s">
        <v>461</v>
      </c>
      <c r="D2184" s="4">
        <v>2.4419200000000001</v>
      </c>
      <c r="E2184" s="4">
        <v>1.33402</v>
      </c>
      <c r="F2184" s="4">
        <v>3.388E-2</v>
      </c>
    </row>
    <row r="2185" spans="1:6" x14ac:dyDescent="0.35">
      <c r="A2185" s="2" t="s">
        <v>2799</v>
      </c>
      <c r="B2185" s="6" t="s">
        <v>2791</v>
      </c>
      <c r="C2185" s="2" t="s">
        <v>461</v>
      </c>
      <c r="D2185" s="4">
        <v>2.7497199999999999</v>
      </c>
      <c r="E2185" s="4">
        <v>1.63805</v>
      </c>
      <c r="F2185" s="4">
        <v>4.3700000000000003E-2</v>
      </c>
    </row>
    <row r="2186" spans="1:6" x14ac:dyDescent="0.35">
      <c r="A2186" s="2" t="s">
        <v>2800</v>
      </c>
      <c r="B2186" s="6" t="s">
        <v>2791</v>
      </c>
      <c r="C2186" s="2" t="s">
        <v>461</v>
      </c>
      <c r="D2186" s="4">
        <v>2.4419200000000001</v>
      </c>
      <c r="E2186" s="4">
        <v>1.33402</v>
      </c>
      <c r="F2186" s="4">
        <v>3.388E-2</v>
      </c>
    </row>
    <row r="2187" spans="1:6" x14ac:dyDescent="0.35">
      <c r="A2187" s="2" t="s">
        <v>2801</v>
      </c>
      <c r="B2187" s="6" t="s">
        <v>2791</v>
      </c>
      <c r="C2187" s="2" t="s">
        <v>461</v>
      </c>
      <c r="D2187" s="4">
        <v>2.4725899999999998</v>
      </c>
      <c r="E2187" s="4">
        <v>1.3628199999999999</v>
      </c>
      <c r="F2187" s="4">
        <v>4.1799999999999997E-2</v>
      </c>
    </row>
    <row r="2188" spans="1:6" x14ac:dyDescent="0.35">
      <c r="A2188" s="2" t="s">
        <v>2802</v>
      </c>
      <c r="B2188" s="6" t="s">
        <v>2791</v>
      </c>
      <c r="C2188" s="2" t="s">
        <v>461</v>
      </c>
      <c r="D2188" s="4">
        <v>2.4419200000000001</v>
      </c>
      <c r="E2188" s="4">
        <v>1.33402</v>
      </c>
      <c r="F2188" s="4">
        <v>3.388E-2</v>
      </c>
    </row>
    <row r="2189" spans="1:6" x14ac:dyDescent="0.35">
      <c r="A2189" s="2" t="s">
        <v>2803</v>
      </c>
      <c r="B2189" s="6" t="s">
        <v>2791</v>
      </c>
      <c r="C2189" s="2" t="s">
        <v>461</v>
      </c>
      <c r="D2189" s="4">
        <v>2.4738799999999999</v>
      </c>
      <c r="E2189" s="4">
        <v>1.36263</v>
      </c>
      <c r="F2189" s="4">
        <v>4.3279999999999999E-2</v>
      </c>
    </row>
    <row r="2190" spans="1:6" x14ac:dyDescent="0.35">
      <c r="A2190" s="2" t="s">
        <v>2804</v>
      </c>
      <c r="B2190" s="6" t="s">
        <v>2791</v>
      </c>
      <c r="C2190" s="2" t="s">
        <v>461</v>
      </c>
      <c r="D2190" s="4">
        <v>2.4732500000000002</v>
      </c>
      <c r="E2190" s="4">
        <v>1.3592299999999999</v>
      </c>
      <c r="F2190" s="4">
        <v>4.6050000000000001E-2</v>
      </c>
    </row>
    <row r="2191" spans="1:6" x14ac:dyDescent="0.35">
      <c r="A2191" s="2" t="s">
        <v>2805</v>
      </c>
      <c r="B2191" s="6" t="s">
        <v>2791</v>
      </c>
      <c r="C2191" s="2" t="s">
        <v>461</v>
      </c>
      <c r="D2191" s="4">
        <v>2.4246099999999999</v>
      </c>
      <c r="E2191" s="4">
        <v>1.3215600000000001</v>
      </c>
      <c r="F2191" s="4">
        <v>3.508E-2</v>
      </c>
    </row>
    <row r="2192" spans="1:6" x14ac:dyDescent="0.35">
      <c r="A2192" s="2" t="s">
        <v>2806</v>
      </c>
      <c r="B2192" s="6" t="e">
        <v>#N/A</v>
      </c>
      <c r="C2192" s="2" t="e">
        <v>#N/A</v>
      </c>
      <c r="D2192" s="4">
        <v>2.7503799999999998</v>
      </c>
      <c r="E2192" s="4">
        <v>1.63446</v>
      </c>
      <c r="F2192" s="4">
        <v>4.795E-2</v>
      </c>
    </row>
    <row r="2193" spans="1:6" x14ac:dyDescent="0.35">
      <c r="A2193" s="2" t="s">
        <v>2807</v>
      </c>
      <c r="B2193" s="6" t="s">
        <v>2791</v>
      </c>
      <c r="C2193" s="2" t="s">
        <v>461</v>
      </c>
      <c r="D2193" s="4">
        <v>2.4916499999999999</v>
      </c>
      <c r="E2193" s="4">
        <v>1.3754599999999999</v>
      </c>
      <c r="F2193" s="4">
        <v>4.2169999999999999E-2</v>
      </c>
    </row>
    <row r="2194" spans="1:6" x14ac:dyDescent="0.35">
      <c r="A2194" s="2" t="s">
        <v>2808</v>
      </c>
      <c r="B2194" s="6" t="s">
        <v>2791</v>
      </c>
      <c r="C2194" s="2" t="s">
        <v>461</v>
      </c>
      <c r="D2194" s="4">
        <v>2.4725899999999998</v>
      </c>
      <c r="E2194" s="4">
        <v>1.3628199999999999</v>
      </c>
      <c r="F2194" s="4">
        <v>4.1799999999999997E-2</v>
      </c>
    </row>
    <row r="2195" spans="1:6" x14ac:dyDescent="0.35">
      <c r="A2195" s="2" t="s">
        <v>2809</v>
      </c>
      <c r="B2195" s="6" t="e">
        <v>#N/A</v>
      </c>
      <c r="C2195" s="2" t="e">
        <v>#N/A</v>
      </c>
      <c r="D2195" s="4">
        <v>2.7004299999999999</v>
      </c>
      <c r="E2195" s="4">
        <v>1.5969899999999999</v>
      </c>
      <c r="F2195" s="4">
        <v>3.5470000000000002E-2</v>
      </c>
    </row>
    <row r="2196" spans="1:6" x14ac:dyDescent="0.35">
      <c r="A2196" s="2" t="s">
        <v>2810</v>
      </c>
      <c r="B2196" s="6" t="e">
        <v>#N/A</v>
      </c>
      <c r="C2196" s="2" t="e">
        <v>#N/A</v>
      </c>
      <c r="D2196" s="4">
        <v>2.7017199999999999</v>
      </c>
      <c r="E2196" s="4">
        <v>1.5968</v>
      </c>
      <c r="F2196" s="4">
        <v>3.6949999999999997E-2</v>
      </c>
    </row>
    <row r="2197" spans="1:6" x14ac:dyDescent="0.35">
      <c r="A2197" s="2" t="s">
        <v>2811</v>
      </c>
      <c r="B2197" s="6" t="s">
        <v>2812</v>
      </c>
      <c r="C2197" s="2" t="s">
        <v>461</v>
      </c>
      <c r="D2197" s="4">
        <v>1.6577200000000001</v>
      </c>
      <c r="E2197" s="4">
        <v>0.79066999999999998</v>
      </c>
      <c r="F2197" s="4">
        <v>2.3029999999999998E-2</v>
      </c>
    </row>
    <row r="2198" spans="1:6" x14ac:dyDescent="0.35">
      <c r="A2198" s="2" t="s">
        <v>2813</v>
      </c>
      <c r="B2198" s="6" t="s">
        <v>2812</v>
      </c>
      <c r="C2198" s="2" t="s">
        <v>461</v>
      </c>
      <c r="D2198" s="4">
        <v>1.6577200000000001</v>
      </c>
      <c r="E2198" s="4">
        <v>0.79066999999999998</v>
      </c>
      <c r="F2198" s="4">
        <v>2.3029999999999998E-2</v>
      </c>
    </row>
    <row r="2199" spans="1:6" x14ac:dyDescent="0.35">
      <c r="A2199" s="2" t="s">
        <v>2814</v>
      </c>
      <c r="B2199" s="6" t="s">
        <v>2812</v>
      </c>
      <c r="C2199" s="2" t="s">
        <v>461</v>
      </c>
      <c r="D2199" s="4">
        <v>1.9912099999999999</v>
      </c>
      <c r="E2199" s="4">
        <v>1.0395300000000001</v>
      </c>
      <c r="F2199" s="4">
        <v>2.3970000000000002E-2</v>
      </c>
    </row>
    <row r="2200" spans="1:6" x14ac:dyDescent="0.35">
      <c r="A2200" s="2" t="s">
        <v>2815</v>
      </c>
      <c r="B2200" s="6" t="s">
        <v>2812</v>
      </c>
      <c r="C2200" s="2" t="s">
        <v>461</v>
      </c>
      <c r="D2200" s="4">
        <v>1.72177</v>
      </c>
      <c r="E2200" s="4">
        <v>0.89571999999999996</v>
      </c>
      <c r="F2200" s="4">
        <v>1.9769999999999999E-2</v>
      </c>
    </row>
    <row r="2201" spans="1:6" x14ac:dyDescent="0.35">
      <c r="A2201" s="2" t="s">
        <v>2816</v>
      </c>
      <c r="B2201" s="6" t="s">
        <v>2812</v>
      </c>
      <c r="C2201" s="2" t="s">
        <v>461</v>
      </c>
      <c r="D2201" s="4">
        <v>1.72177</v>
      </c>
      <c r="E2201" s="4">
        <v>0.89571999999999996</v>
      </c>
      <c r="F2201" s="4">
        <v>1.9769999999999999E-2</v>
      </c>
    </row>
    <row r="2202" spans="1:6" x14ac:dyDescent="0.35">
      <c r="A2202" s="2" t="s">
        <v>2817</v>
      </c>
      <c r="B2202" s="6" t="s">
        <v>2812</v>
      </c>
      <c r="C2202" s="2" t="s">
        <v>461</v>
      </c>
      <c r="D2202" s="4">
        <v>1.72177</v>
      </c>
      <c r="E2202" s="4">
        <v>0.89571999999999996</v>
      </c>
      <c r="F2202" s="4">
        <v>1.9769999999999999E-2</v>
      </c>
    </row>
    <row r="2203" spans="1:6" x14ac:dyDescent="0.35">
      <c r="A2203" s="2" t="s">
        <v>2818</v>
      </c>
      <c r="B2203" s="6" t="s">
        <v>2812</v>
      </c>
      <c r="C2203" s="2" t="s">
        <v>461</v>
      </c>
      <c r="D2203" s="4">
        <v>1.72177</v>
      </c>
      <c r="E2203" s="4">
        <v>0.89571999999999996</v>
      </c>
      <c r="F2203" s="4">
        <v>1.9769999999999999E-2</v>
      </c>
    </row>
    <row r="2204" spans="1:6" x14ac:dyDescent="0.35">
      <c r="A2204" s="2" t="s">
        <v>2819</v>
      </c>
      <c r="B2204" s="6" t="s">
        <v>2812</v>
      </c>
      <c r="C2204" s="2" t="s">
        <v>461</v>
      </c>
      <c r="D2204" s="4">
        <v>1.72177</v>
      </c>
      <c r="E2204" s="4">
        <v>0.89571999999999996</v>
      </c>
      <c r="F2204" s="4">
        <v>1.9769999999999999E-2</v>
      </c>
    </row>
    <row r="2205" spans="1:6" x14ac:dyDescent="0.35">
      <c r="A2205" s="2" t="s">
        <v>2820</v>
      </c>
      <c r="B2205" s="6" t="s">
        <v>2812</v>
      </c>
      <c r="C2205" s="2" t="s">
        <v>461</v>
      </c>
      <c r="D2205" s="4">
        <v>1.72177</v>
      </c>
      <c r="E2205" s="4">
        <v>0.89571999999999996</v>
      </c>
      <c r="F2205" s="4">
        <v>1.9769999999999999E-2</v>
      </c>
    </row>
    <row r="2206" spans="1:6" x14ac:dyDescent="0.35">
      <c r="A2206" s="2" t="s">
        <v>2821</v>
      </c>
      <c r="B2206" s="6" t="s">
        <v>2812</v>
      </c>
      <c r="C2206" s="2" t="s">
        <v>461</v>
      </c>
      <c r="D2206" s="4">
        <v>2.0387300000000002</v>
      </c>
      <c r="E2206" s="4">
        <v>1.0855699999999999</v>
      </c>
      <c r="F2206" s="4">
        <v>2.545E-2</v>
      </c>
    </row>
    <row r="2207" spans="1:6" x14ac:dyDescent="0.35">
      <c r="A2207" s="2" t="s">
        <v>2822</v>
      </c>
      <c r="B2207" s="6" t="s">
        <v>2812</v>
      </c>
      <c r="C2207" s="2" t="s">
        <v>461</v>
      </c>
      <c r="D2207" s="4">
        <v>1.72306</v>
      </c>
      <c r="E2207" s="4">
        <v>0.89553000000000005</v>
      </c>
      <c r="F2207" s="4">
        <v>2.1250000000000002E-2</v>
      </c>
    </row>
    <row r="2208" spans="1:6" x14ac:dyDescent="0.35">
      <c r="A2208" s="2" t="s">
        <v>2823</v>
      </c>
      <c r="B2208" s="6" t="s">
        <v>2812</v>
      </c>
      <c r="C2208" s="2" t="s">
        <v>461</v>
      </c>
      <c r="D2208" s="4">
        <v>1.79203</v>
      </c>
      <c r="E2208" s="4">
        <v>0.96460999999999997</v>
      </c>
      <c r="F2208" s="4">
        <v>2.1139999999999999E-2</v>
      </c>
    </row>
    <row r="2209" spans="1:6" x14ac:dyDescent="0.35">
      <c r="A2209" s="2" t="s">
        <v>2824</v>
      </c>
      <c r="B2209" s="6" t="s">
        <v>2812</v>
      </c>
      <c r="C2209" s="2" t="s">
        <v>461</v>
      </c>
      <c r="D2209" s="4">
        <v>1.6590100000000001</v>
      </c>
      <c r="E2209" s="4">
        <v>0.79047999999999996</v>
      </c>
      <c r="F2209" s="4">
        <v>2.4510000000000001E-2</v>
      </c>
    </row>
    <row r="2210" spans="1:6" x14ac:dyDescent="0.35">
      <c r="A2210" s="2" t="s">
        <v>2825</v>
      </c>
      <c r="B2210" s="6" t="s">
        <v>2812</v>
      </c>
      <c r="C2210" s="2" t="s">
        <v>461</v>
      </c>
      <c r="D2210" s="4">
        <v>1.41919</v>
      </c>
      <c r="E2210" s="4">
        <v>0.51210999999999995</v>
      </c>
      <c r="F2210" s="4">
        <v>2.196E-2</v>
      </c>
    </row>
    <row r="2211" spans="1:6" x14ac:dyDescent="0.35">
      <c r="A2211" s="2" t="s">
        <v>2826</v>
      </c>
      <c r="B2211" s="6" t="s">
        <v>2812</v>
      </c>
      <c r="C2211" s="2" t="s">
        <v>461</v>
      </c>
      <c r="D2211" s="4">
        <v>1.41919</v>
      </c>
      <c r="E2211" s="4">
        <v>0.51210999999999995</v>
      </c>
      <c r="F2211" s="4">
        <v>2.196E-2</v>
      </c>
    </row>
    <row r="2212" spans="1:6" x14ac:dyDescent="0.35">
      <c r="A2212" s="2" t="s">
        <v>2827</v>
      </c>
      <c r="B2212" s="6" t="s">
        <v>2812</v>
      </c>
      <c r="C2212" s="2" t="s">
        <v>461</v>
      </c>
      <c r="D2212" s="4">
        <v>1.6454200000000001</v>
      </c>
      <c r="E2212" s="4">
        <v>0.77837000000000001</v>
      </c>
      <c r="F2212" s="4">
        <v>2.3029999999999998E-2</v>
      </c>
    </row>
    <row r="2213" spans="1:6" x14ac:dyDescent="0.35">
      <c r="A2213" s="2" t="s">
        <v>2828</v>
      </c>
      <c r="B2213" s="6" t="s">
        <v>2812</v>
      </c>
      <c r="C2213" s="2" t="s">
        <v>461</v>
      </c>
      <c r="D2213" s="4">
        <v>1.6454200000000001</v>
      </c>
      <c r="E2213" s="4">
        <v>0.77837000000000001</v>
      </c>
      <c r="F2213" s="4">
        <v>2.3029999999999998E-2</v>
      </c>
    </row>
    <row r="2214" spans="1:6" x14ac:dyDescent="0.35">
      <c r="A2214" s="2" t="s">
        <v>2829</v>
      </c>
      <c r="B2214" s="6" t="s">
        <v>2812</v>
      </c>
      <c r="C2214" s="2" t="s">
        <v>461</v>
      </c>
      <c r="D2214" s="4">
        <v>1.6454200000000001</v>
      </c>
      <c r="E2214" s="4">
        <v>0.77837000000000001</v>
      </c>
      <c r="F2214" s="4">
        <v>2.3029999999999998E-2</v>
      </c>
    </row>
    <row r="2215" spans="1:6" x14ac:dyDescent="0.35">
      <c r="A2215" s="2" t="s">
        <v>2830</v>
      </c>
      <c r="B2215" s="6" t="s">
        <v>2812</v>
      </c>
      <c r="C2215" s="2" t="s">
        <v>461</v>
      </c>
      <c r="D2215" s="4">
        <v>1.6467099999999999</v>
      </c>
      <c r="E2215" s="4">
        <v>0.77817999999999998</v>
      </c>
      <c r="F2215" s="4">
        <v>2.4510000000000001E-2</v>
      </c>
    </row>
    <row r="2216" spans="1:6" x14ac:dyDescent="0.35">
      <c r="A2216" s="2" t="s">
        <v>2831</v>
      </c>
      <c r="B2216" s="6" t="s">
        <v>2812</v>
      </c>
      <c r="C2216" s="2" t="s">
        <v>461</v>
      </c>
      <c r="D2216" s="4">
        <v>1.6467099999999999</v>
      </c>
      <c r="E2216" s="4">
        <v>0.77817999999999998</v>
      </c>
      <c r="F2216" s="4">
        <v>2.4510000000000001E-2</v>
      </c>
    </row>
    <row r="2217" spans="1:6" x14ac:dyDescent="0.35">
      <c r="A2217" s="2" t="s">
        <v>2832</v>
      </c>
      <c r="B2217" s="6" t="s">
        <v>2812</v>
      </c>
      <c r="C2217" s="2" t="s">
        <v>461</v>
      </c>
      <c r="D2217" s="4">
        <v>1.6454200000000001</v>
      </c>
      <c r="E2217" s="4">
        <v>0.77837000000000001</v>
      </c>
      <c r="F2217" s="4">
        <v>2.3029999999999998E-2</v>
      </c>
    </row>
    <row r="2218" spans="1:6" x14ac:dyDescent="0.35">
      <c r="A2218" s="2" t="s">
        <v>2833</v>
      </c>
      <c r="B2218" s="6" t="s">
        <v>2812</v>
      </c>
      <c r="C2218" s="2" t="s">
        <v>461</v>
      </c>
      <c r="D2218" s="4">
        <v>1.6467099999999999</v>
      </c>
      <c r="E2218" s="4">
        <v>0.77817999999999998</v>
      </c>
      <c r="F2218" s="4">
        <v>2.4510000000000001E-2</v>
      </c>
    </row>
    <row r="2219" spans="1:6" x14ac:dyDescent="0.35">
      <c r="A2219" s="2" t="s">
        <v>2834</v>
      </c>
      <c r="B2219" s="6" t="s">
        <v>2812</v>
      </c>
      <c r="C2219" s="2" t="s">
        <v>461</v>
      </c>
      <c r="D2219" s="4">
        <v>1.4099699999999999</v>
      </c>
      <c r="E2219" s="4">
        <v>0.54105999999999999</v>
      </c>
      <c r="F2219" s="4">
        <v>2.3810000000000001E-2</v>
      </c>
    </row>
    <row r="2220" spans="1:6" x14ac:dyDescent="0.35">
      <c r="A2220" s="2" t="s">
        <v>2835</v>
      </c>
      <c r="B2220" s="6" t="s">
        <v>2812</v>
      </c>
      <c r="C2220" s="2" t="s">
        <v>461</v>
      </c>
      <c r="D2220" s="4">
        <v>1.4086799999999999</v>
      </c>
      <c r="E2220" s="4">
        <v>0.54125000000000001</v>
      </c>
      <c r="F2220" s="4">
        <v>2.2329999999999999E-2</v>
      </c>
    </row>
    <row r="2221" spans="1:6" x14ac:dyDescent="0.35">
      <c r="A2221" s="2" t="s">
        <v>2836</v>
      </c>
      <c r="B2221" s="6" t="s">
        <v>2812</v>
      </c>
      <c r="C2221" s="2" t="s">
        <v>461</v>
      </c>
      <c r="D2221" s="4">
        <v>1.4086799999999999</v>
      </c>
      <c r="E2221" s="4">
        <v>0.54125000000000001</v>
      </c>
      <c r="F2221" s="4">
        <v>2.2329999999999999E-2</v>
      </c>
    </row>
    <row r="2222" spans="1:6" x14ac:dyDescent="0.35">
      <c r="A2222" s="2" t="s">
        <v>2837</v>
      </c>
      <c r="B2222" s="6" t="s">
        <v>2812</v>
      </c>
      <c r="C2222" s="2" t="s">
        <v>461</v>
      </c>
      <c r="D2222" s="4">
        <v>1.48224</v>
      </c>
      <c r="E2222" s="4">
        <v>0.54069999999999996</v>
      </c>
      <c r="F2222" s="4">
        <v>2.2329999999999999E-2</v>
      </c>
    </row>
    <row r="2223" spans="1:6" x14ac:dyDescent="0.35">
      <c r="A2223" s="2" t="s">
        <v>2838</v>
      </c>
      <c r="B2223" s="6" t="s">
        <v>2812</v>
      </c>
      <c r="C2223" s="2" t="s">
        <v>461</v>
      </c>
      <c r="D2223" s="4">
        <v>1.48353</v>
      </c>
      <c r="E2223" s="4">
        <v>0.54051000000000005</v>
      </c>
      <c r="F2223" s="4">
        <v>2.3810000000000001E-2</v>
      </c>
    </row>
    <row r="2224" spans="1:6" x14ac:dyDescent="0.35">
      <c r="A2224" s="2" t="s">
        <v>2839</v>
      </c>
      <c r="B2224" s="6" t="s">
        <v>2812</v>
      </c>
      <c r="C2224" s="2" t="s">
        <v>461</v>
      </c>
      <c r="D2224" s="4">
        <v>1.48353</v>
      </c>
      <c r="E2224" s="4">
        <v>0.54051000000000005</v>
      </c>
      <c r="F2224" s="4">
        <v>2.3810000000000001E-2</v>
      </c>
    </row>
    <row r="2225" spans="1:6" x14ac:dyDescent="0.35">
      <c r="A2225" s="2" t="s">
        <v>2840</v>
      </c>
      <c r="B2225" s="6" t="s">
        <v>2812</v>
      </c>
      <c r="C2225" s="2" t="s">
        <v>461</v>
      </c>
      <c r="D2225" s="4">
        <v>1.48224</v>
      </c>
      <c r="E2225" s="4">
        <v>0.54069999999999996</v>
      </c>
      <c r="F2225" s="4">
        <v>2.2329999999999999E-2</v>
      </c>
    </row>
    <row r="2226" spans="1:6" x14ac:dyDescent="0.35">
      <c r="A2226" s="2" t="s">
        <v>2841</v>
      </c>
      <c r="B2226" s="6" t="s">
        <v>2812</v>
      </c>
      <c r="C2226" s="2" t="s">
        <v>461</v>
      </c>
      <c r="D2226" s="4">
        <v>1.6577200000000001</v>
      </c>
      <c r="E2226" s="4">
        <v>0.79066999999999998</v>
      </c>
      <c r="F2226" s="4">
        <v>2.3029999999999998E-2</v>
      </c>
    </row>
    <row r="2227" spans="1:6" x14ac:dyDescent="0.35">
      <c r="A2227" s="2" t="s">
        <v>2842</v>
      </c>
      <c r="B2227" s="6" t="s">
        <v>2812</v>
      </c>
      <c r="C2227" s="2" t="s">
        <v>461</v>
      </c>
      <c r="D2227" s="4">
        <v>1.6590100000000001</v>
      </c>
      <c r="E2227" s="4">
        <v>0.79047999999999996</v>
      </c>
      <c r="F2227" s="4">
        <v>2.4510000000000001E-2</v>
      </c>
    </row>
    <row r="2228" spans="1:6" x14ac:dyDescent="0.35">
      <c r="A2228" s="2" t="s">
        <v>2843</v>
      </c>
      <c r="B2228" s="6" t="s">
        <v>2812</v>
      </c>
      <c r="C2228" s="2" t="s">
        <v>461</v>
      </c>
      <c r="D2228" s="4">
        <v>1.41919</v>
      </c>
      <c r="E2228" s="4">
        <v>0.51210999999999995</v>
      </c>
      <c r="F2228" s="4">
        <v>2.196E-2</v>
      </c>
    </row>
    <row r="2229" spans="1:6" x14ac:dyDescent="0.35">
      <c r="A2229" s="2" t="s">
        <v>2844</v>
      </c>
      <c r="B2229" s="6" t="s">
        <v>2812</v>
      </c>
      <c r="C2229" s="2" t="s">
        <v>461</v>
      </c>
      <c r="D2229" s="4">
        <v>1.41919</v>
      </c>
      <c r="E2229" s="4">
        <v>0.51210999999999995</v>
      </c>
      <c r="F2229" s="4">
        <v>2.196E-2</v>
      </c>
    </row>
    <row r="2230" spans="1:6" x14ac:dyDescent="0.35">
      <c r="A2230" s="2" t="s">
        <v>2845</v>
      </c>
      <c r="B2230" s="6" t="s">
        <v>2812</v>
      </c>
      <c r="C2230" s="2" t="s">
        <v>461</v>
      </c>
      <c r="D2230" s="4">
        <v>1.41919</v>
      </c>
      <c r="E2230" s="4">
        <v>0.51210999999999995</v>
      </c>
      <c r="F2230" s="4">
        <v>2.196E-2</v>
      </c>
    </row>
    <row r="2231" spans="1:6" x14ac:dyDescent="0.35">
      <c r="A2231" s="2" t="s">
        <v>2846</v>
      </c>
      <c r="B2231" s="6" t="s">
        <v>2812</v>
      </c>
      <c r="C2231" s="2" t="s">
        <v>461</v>
      </c>
      <c r="D2231" s="4">
        <v>1.41919</v>
      </c>
      <c r="E2231" s="4">
        <v>0.51210999999999995</v>
      </c>
      <c r="F2231" s="4">
        <v>2.196E-2</v>
      </c>
    </row>
    <row r="2232" spans="1:6" x14ac:dyDescent="0.35">
      <c r="A2232" s="2" t="s">
        <v>2847</v>
      </c>
      <c r="B2232" s="6" t="s">
        <v>2812</v>
      </c>
      <c r="C2232" s="2" t="s">
        <v>461</v>
      </c>
      <c r="D2232" s="4">
        <v>1.76352</v>
      </c>
      <c r="E2232" s="4">
        <v>0.84831000000000001</v>
      </c>
      <c r="F2232" s="4">
        <v>2.4680000000000001E-2</v>
      </c>
    </row>
    <row r="2233" spans="1:6" x14ac:dyDescent="0.35">
      <c r="A2233" s="2" t="s">
        <v>2848</v>
      </c>
      <c r="B2233" s="6" t="s">
        <v>2812</v>
      </c>
      <c r="C2233" s="2" t="s">
        <v>461</v>
      </c>
      <c r="D2233" s="4">
        <v>1.6957899999999999</v>
      </c>
      <c r="E2233" s="4">
        <v>0.81079000000000001</v>
      </c>
      <c r="F2233" s="4">
        <v>2.359E-2</v>
      </c>
    </row>
    <row r="2234" spans="1:6" x14ac:dyDescent="0.35">
      <c r="A2234" s="2" t="s">
        <v>2849</v>
      </c>
      <c r="B2234" s="6" t="s">
        <v>2812</v>
      </c>
      <c r="C2234" s="2" t="s">
        <v>461</v>
      </c>
      <c r="D2234" s="4">
        <v>1.6957899999999999</v>
      </c>
      <c r="E2234" s="4">
        <v>0.81079000000000001</v>
      </c>
      <c r="F2234" s="4">
        <v>2.359E-2</v>
      </c>
    </row>
    <row r="2235" spans="1:6" x14ac:dyDescent="0.35">
      <c r="A2235" s="2" t="s">
        <v>2850</v>
      </c>
      <c r="B2235" s="6" t="s">
        <v>2812</v>
      </c>
      <c r="C2235" s="2" t="s">
        <v>461</v>
      </c>
      <c r="D2235" s="4">
        <v>1.6957899999999999</v>
      </c>
      <c r="E2235" s="4">
        <v>0.81079000000000001</v>
      </c>
      <c r="F2235" s="4">
        <v>2.359E-2</v>
      </c>
    </row>
    <row r="2236" spans="1:6" x14ac:dyDescent="0.35">
      <c r="A2236" s="2" t="s">
        <v>2851</v>
      </c>
      <c r="B2236" s="6" t="s">
        <v>2812</v>
      </c>
      <c r="C2236" s="2" t="s">
        <v>461</v>
      </c>
      <c r="D2236" s="4">
        <v>1.6957899999999999</v>
      </c>
      <c r="E2236" s="4">
        <v>0.81079000000000001</v>
      </c>
      <c r="F2236" s="4">
        <v>2.359E-2</v>
      </c>
    </row>
    <row r="2237" spans="1:6" x14ac:dyDescent="0.35">
      <c r="A2237" s="2" t="s">
        <v>2852</v>
      </c>
      <c r="B2237" s="6" t="s">
        <v>2812</v>
      </c>
      <c r="C2237" s="2" t="s">
        <v>461</v>
      </c>
      <c r="D2237" s="4">
        <v>1.93499</v>
      </c>
      <c r="E2237" s="4">
        <v>0.94238999999999995</v>
      </c>
      <c r="F2237" s="4">
        <v>2.8920000000000001E-2</v>
      </c>
    </row>
    <row r="2238" spans="1:6" x14ac:dyDescent="0.35">
      <c r="A2238" s="2" t="s">
        <v>2853</v>
      </c>
      <c r="B2238" s="6" t="s">
        <v>2812</v>
      </c>
      <c r="C2238" s="2" t="s">
        <v>461</v>
      </c>
      <c r="D2238" s="4">
        <v>1.6970799999999999</v>
      </c>
      <c r="E2238" s="4">
        <v>0.81059999999999999</v>
      </c>
      <c r="F2238" s="4">
        <v>2.5069999999999999E-2</v>
      </c>
    </row>
    <row r="2239" spans="1:6" x14ac:dyDescent="0.35">
      <c r="A2239" s="2" t="s">
        <v>2854</v>
      </c>
      <c r="B2239" s="6" t="s">
        <v>2812</v>
      </c>
      <c r="C2239" s="2" t="s">
        <v>461</v>
      </c>
      <c r="D2239" s="4">
        <v>1.6957899999999999</v>
      </c>
      <c r="E2239" s="4">
        <v>0.81079000000000001</v>
      </c>
      <c r="F2239" s="4">
        <v>2.359E-2</v>
      </c>
    </row>
    <row r="2240" spans="1:6" x14ac:dyDescent="0.35">
      <c r="A2240" s="2" t="s">
        <v>2855</v>
      </c>
      <c r="B2240" s="6" t="s">
        <v>2812</v>
      </c>
      <c r="C2240" s="2" t="s">
        <v>461</v>
      </c>
      <c r="D2240" s="4">
        <v>1.6957899999999999</v>
      </c>
      <c r="E2240" s="4">
        <v>0.81079000000000001</v>
      </c>
      <c r="F2240" s="4">
        <v>2.359E-2</v>
      </c>
    </row>
    <row r="2241" spans="1:6" x14ac:dyDescent="0.35">
      <c r="A2241" s="2" t="s">
        <v>2856</v>
      </c>
      <c r="B2241" s="6" t="s">
        <v>2812</v>
      </c>
      <c r="C2241" s="2" t="s">
        <v>461</v>
      </c>
      <c r="D2241" s="4">
        <v>1.6970799999999999</v>
      </c>
      <c r="E2241" s="4">
        <v>0.81059999999999999</v>
      </c>
      <c r="F2241" s="4">
        <v>2.5069999999999999E-2</v>
      </c>
    </row>
    <row r="2242" spans="1:6" x14ac:dyDescent="0.35">
      <c r="A2242" s="2" t="s">
        <v>2857</v>
      </c>
      <c r="B2242" s="6" t="s">
        <v>2812</v>
      </c>
      <c r="C2242" s="2" t="s">
        <v>461</v>
      </c>
      <c r="D2242" s="4">
        <v>1.6577200000000001</v>
      </c>
      <c r="E2242" s="4">
        <v>0.79066999999999998</v>
      </c>
      <c r="F2242" s="4">
        <v>2.3029999999999998E-2</v>
      </c>
    </row>
    <row r="2243" spans="1:6" x14ac:dyDescent="0.35">
      <c r="A2243" s="2" t="s">
        <v>2858</v>
      </c>
      <c r="B2243" s="6" t="s">
        <v>2812</v>
      </c>
      <c r="C2243" s="2" t="s">
        <v>461</v>
      </c>
      <c r="D2243" s="4">
        <v>1.6970799999999999</v>
      </c>
      <c r="E2243" s="4">
        <v>0.81059999999999999</v>
      </c>
      <c r="F2243" s="4">
        <v>2.5069999999999999E-2</v>
      </c>
    </row>
    <row r="2244" spans="1:6" x14ac:dyDescent="0.35">
      <c r="A2244" s="2" t="s">
        <v>2859</v>
      </c>
      <c r="B2244" s="6" t="s">
        <v>2812</v>
      </c>
      <c r="C2244" s="2" t="s">
        <v>461</v>
      </c>
      <c r="D2244" s="4">
        <v>1.6590100000000001</v>
      </c>
      <c r="E2244" s="4">
        <v>0.79047999999999996</v>
      </c>
      <c r="F2244" s="4">
        <v>2.4510000000000001E-2</v>
      </c>
    </row>
    <row r="2245" spans="1:6" x14ac:dyDescent="0.35">
      <c r="A2245" s="2" t="s">
        <v>2860</v>
      </c>
      <c r="B2245" s="6" t="s">
        <v>2812</v>
      </c>
      <c r="C2245" s="2" t="s">
        <v>461</v>
      </c>
      <c r="D2245" s="4">
        <v>1.47685</v>
      </c>
      <c r="E2245" s="4">
        <v>0.65351999999999999</v>
      </c>
      <c r="F2245" s="4">
        <v>1.951E-2</v>
      </c>
    </row>
    <row r="2246" spans="1:6" x14ac:dyDescent="0.35">
      <c r="A2246" s="2" t="s">
        <v>2861</v>
      </c>
      <c r="B2246" s="6" t="s">
        <v>2812</v>
      </c>
      <c r="C2246" s="2" t="s">
        <v>461</v>
      </c>
      <c r="D2246" s="4">
        <v>1.41387</v>
      </c>
      <c r="E2246" s="4">
        <v>0.54644000000000004</v>
      </c>
      <c r="F2246" s="4">
        <v>2.2329999999999999E-2</v>
      </c>
    </row>
    <row r="2247" spans="1:6" x14ac:dyDescent="0.35">
      <c r="A2247" s="2" t="s">
        <v>2862</v>
      </c>
      <c r="B2247" s="6" t="s">
        <v>2812</v>
      </c>
      <c r="C2247" s="2" t="s">
        <v>461</v>
      </c>
      <c r="D2247" s="4">
        <v>1.4085099999999999</v>
      </c>
      <c r="E2247" s="4">
        <v>0.54266000000000003</v>
      </c>
      <c r="F2247" s="4">
        <v>2.3599999999999999E-2</v>
      </c>
    </row>
    <row r="2248" spans="1:6" x14ac:dyDescent="0.35">
      <c r="A2248" s="2" t="s">
        <v>2863</v>
      </c>
      <c r="B2248" s="6" t="s">
        <v>2812</v>
      </c>
      <c r="C2248" s="2" t="s">
        <v>461</v>
      </c>
      <c r="D2248" s="4">
        <v>1.4072199999999999</v>
      </c>
      <c r="E2248" s="4">
        <v>0.54285000000000005</v>
      </c>
      <c r="F2248" s="4">
        <v>2.2120000000000001E-2</v>
      </c>
    </row>
    <row r="2249" spans="1:6" x14ac:dyDescent="0.35">
      <c r="A2249" s="2" t="s">
        <v>2864</v>
      </c>
      <c r="B2249" s="6" t="s">
        <v>2812</v>
      </c>
      <c r="C2249" s="2" t="s">
        <v>461</v>
      </c>
      <c r="D2249" s="4">
        <v>1.41387</v>
      </c>
      <c r="E2249" s="4">
        <v>0.54644000000000004</v>
      </c>
      <c r="F2249" s="4">
        <v>2.2329999999999999E-2</v>
      </c>
    </row>
    <row r="2250" spans="1:6" x14ac:dyDescent="0.35">
      <c r="A2250" s="2" t="s">
        <v>2865</v>
      </c>
      <c r="B2250" s="6" t="s">
        <v>2812</v>
      </c>
      <c r="C2250" s="2" t="s">
        <v>461</v>
      </c>
      <c r="D2250" s="4">
        <v>1.41387</v>
      </c>
      <c r="E2250" s="4">
        <v>0.54644000000000004</v>
      </c>
      <c r="F2250" s="4">
        <v>2.2329999999999999E-2</v>
      </c>
    </row>
    <row r="2251" spans="1:6" x14ac:dyDescent="0.35">
      <c r="A2251" s="2" t="s">
        <v>2866</v>
      </c>
      <c r="B2251" s="6" t="s">
        <v>2812</v>
      </c>
      <c r="C2251" s="2" t="s">
        <v>461</v>
      </c>
      <c r="D2251" s="4">
        <v>1.41387</v>
      </c>
      <c r="E2251" s="4">
        <v>0.54644000000000004</v>
      </c>
      <c r="F2251" s="4">
        <v>2.2329999999999999E-2</v>
      </c>
    </row>
    <row r="2252" spans="1:6" x14ac:dyDescent="0.35">
      <c r="A2252" s="2" t="s">
        <v>2867</v>
      </c>
      <c r="B2252" s="6" t="s">
        <v>2812</v>
      </c>
      <c r="C2252" s="2" t="s">
        <v>461</v>
      </c>
      <c r="D2252" s="4">
        <v>1.41387</v>
      </c>
      <c r="E2252" s="4">
        <v>0.54644000000000004</v>
      </c>
      <c r="F2252" s="4">
        <v>2.2329999999999999E-2</v>
      </c>
    </row>
    <row r="2253" spans="1:6" x14ac:dyDescent="0.35">
      <c r="A2253" s="2" t="s">
        <v>2868</v>
      </c>
      <c r="B2253" s="6" t="s">
        <v>2812</v>
      </c>
      <c r="C2253" s="2" t="s">
        <v>461</v>
      </c>
      <c r="D2253" s="4">
        <v>1.41387</v>
      </c>
      <c r="E2253" s="4">
        <v>0.54644000000000004</v>
      </c>
      <c r="F2253" s="4">
        <v>2.2329999999999999E-2</v>
      </c>
    </row>
    <row r="2254" spans="1:6" x14ac:dyDescent="0.35">
      <c r="A2254" s="2" t="s">
        <v>2869</v>
      </c>
      <c r="B2254" s="6" t="s">
        <v>2812</v>
      </c>
      <c r="C2254" s="2" t="s">
        <v>461</v>
      </c>
      <c r="D2254" s="4">
        <v>1.41387</v>
      </c>
      <c r="E2254" s="4">
        <v>0.54644000000000004</v>
      </c>
      <c r="F2254" s="4">
        <v>2.2329999999999999E-2</v>
      </c>
    </row>
    <row r="2255" spans="1:6" x14ac:dyDescent="0.35">
      <c r="A2255" s="2" t="s">
        <v>2870</v>
      </c>
      <c r="B2255" s="6" t="s">
        <v>2812</v>
      </c>
      <c r="C2255" s="2" t="s">
        <v>461</v>
      </c>
      <c r="D2255" s="4">
        <v>1.4085099999999999</v>
      </c>
      <c r="E2255" s="4">
        <v>0.54266000000000003</v>
      </c>
      <c r="F2255" s="4">
        <v>2.3599999999999999E-2</v>
      </c>
    </row>
    <row r="2256" spans="1:6" x14ac:dyDescent="0.35">
      <c r="A2256" s="2" t="s">
        <v>2871</v>
      </c>
      <c r="B2256" s="6" t="s">
        <v>2812</v>
      </c>
      <c r="C2256" s="2" t="s">
        <v>461</v>
      </c>
      <c r="D2256" s="4">
        <v>1.41387</v>
      </c>
      <c r="E2256" s="4">
        <v>0.54644000000000004</v>
      </c>
      <c r="F2256" s="4">
        <v>2.2329999999999999E-2</v>
      </c>
    </row>
    <row r="2257" spans="1:6" x14ac:dyDescent="0.35">
      <c r="A2257" s="2" t="s">
        <v>2872</v>
      </c>
      <c r="B2257" s="6" t="s">
        <v>2812</v>
      </c>
      <c r="C2257" s="2" t="s">
        <v>461</v>
      </c>
      <c r="D2257" s="4">
        <v>1.4099699999999999</v>
      </c>
      <c r="E2257" s="4">
        <v>0.54105999999999999</v>
      </c>
      <c r="F2257" s="4">
        <v>2.3810000000000001E-2</v>
      </c>
    </row>
    <row r="2258" spans="1:6" x14ac:dyDescent="0.35">
      <c r="A2258" s="2" t="s">
        <v>2873</v>
      </c>
      <c r="B2258" s="6" t="s">
        <v>2812</v>
      </c>
      <c r="C2258" s="2" t="s">
        <v>461</v>
      </c>
      <c r="D2258" s="4">
        <v>1.5045500000000001</v>
      </c>
      <c r="E2258" s="4">
        <v>0.57955000000000001</v>
      </c>
      <c r="F2258" s="4">
        <v>2.5409999999999999E-2</v>
      </c>
    </row>
    <row r="2259" spans="1:6" x14ac:dyDescent="0.35">
      <c r="A2259" s="2" t="s">
        <v>2874</v>
      </c>
      <c r="B2259" s="6" t="s">
        <v>2812</v>
      </c>
      <c r="C2259" s="2" t="s">
        <v>461</v>
      </c>
      <c r="D2259" s="4">
        <v>1.4933099999999999</v>
      </c>
      <c r="E2259" s="4">
        <v>0.57925000000000004</v>
      </c>
      <c r="F2259" s="4">
        <v>2.5409999999999999E-2</v>
      </c>
    </row>
    <row r="2260" spans="1:6" x14ac:dyDescent="0.35">
      <c r="A2260" s="2" t="s">
        <v>2875</v>
      </c>
      <c r="B2260" s="6" t="s">
        <v>2812</v>
      </c>
      <c r="C2260" s="2" t="s">
        <v>461</v>
      </c>
      <c r="D2260" s="4">
        <v>1.4086799999999999</v>
      </c>
      <c r="E2260" s="4">
        <v>0.54125000000000001</v>
      </c>
      <c r="F2260" s="4">
        <v>2.2329999999999999E-2</v>
      </c>
    </row>
    <row r="2261" spans="1:6" x14ac:dyDescent="0.35">
      <c r="A2261" s="2" t="s">
        <v>2876</v>
      </c>
      <c r="B2261" s="6" t="s">
        <v>2812</v>
      </c>
      <c r="C2261" s="2" t="s">
        <v>461</v>
      </c>
      <c r="D2261" s="4">
        <v>1.4086799999999999</v>
      </c>
      <c r="E2261" s="4">
        <v>0.54125000000000001</v>
      </c>
      <c r="F2261" s="4">
        <v>2.2329999999999999E-2</v>
      </c>
    </row>
    <row r="2262" spans="1:6" x14ac:dyDescent="0.35">
      <c r="A2262" s="2" t="s">
        <v>2877</v>
      </c>
      <c r="B2262" s="6" t="s">
        <v>2812</v>
      </c>
      <c r="C2262" s="2" t="s">
        <v>461</v>
      </c>
      <c r="D2262" s="4">
        <v>1.4086799999999999</v>
      </c>
      <c r="E2262" s="4">
        <v>0.54125000000000001</v>
      </c>
      <c r="F2262" s="4">
        <v>2.2329999999999999E-2</v>
      </c>
    </row>
    <row r="2263" spans="1:6" x14ac:dyDescent="0.35">
      <c r="A2263" s="2" t="s">
        <v>2878</v>
      </c>
      <c r="B2263" s="6" t="s">
        <v>2812</v>
      </c>
      <c r="C2263" s="2" t="s">
        <v>461</v>
      </c>
      <c r="D2263" s="4">
        <v>1.4086799999999999</v>
      </c>
      <c r="E2263" s="4">
        <v>0.54125000000000001</v>
      </c>
      <c r="F2263" s="4">
        <v>2.2329999999999999E-2</v>
      </c>
    </row>
    <row r="2264" spans="1:6" x14ac:dyDescent="0.35">
      <c r="A2264" s="2" t="s">
        <v>2879</v>
      </c>
      <c r="B2264" s="6" t="s">
        <v>2812</v>
      </c>
      <c r="C2264" s="2" t="s">
        <v>461</v>
      </c>
      <c r="D2264" s="4">
        <v>1.4800899999999999</v>
      </c>
      <c r="E2264" s="4">
        <v>0.54230999999999996</v>
      </c>
      <c r="F2264" s="4">
        <v>2.2120000000000001E-2</v>
      </c>
    </row>
    <row r="2265" spans="1:6" x14ac:dyDescent="0.35">
      <c r="A2265" s="2" t="s">
        <v>2880</v>
      </c>
      <c r="B2265" s="6" t="s">
        <v>2812</v>
      </c>
      <c r="C2265" s="2" t="s">
        <v>461</v>
      </c>
      <c r="D2265" s="4">
        <v>1.4800899999999999</v>
      </c>
      <c r="E2265" s="4">
        <v>0.54230999999999996</v>
      </c>
      <c r="F2265" s="4">
        <v>2.2120000000000001E-2</v>
      </c>
    </row>
    <row r="2266" spans="1:6" x14ac:dyDescent="0.35">
      <c r="A2266" s="2" t="s">
        <v>2881</v>
      </c>
      <c r="B2266" s="6" t="s">
        <v>2812</v>
      </c>
      <c r="C2266" s="2" t="s">
        <v>461</v>
      </c>
      <c r="D2266" s="4">
        <v>1.4887300000000001</v>
      </c>
      <c r="E2266" s="4">
        <v>0.54571000000000003</v>
      </c>
      <c r="F2266" s="4">
        <v>2.3810000000000001E-2</v>
      </c>
    </row>
    <row r="2267" spans="1:6" x14ac:dyDescent="0.35">
      <c r="A2267" s="2" t="s">
        <v>2882</v>
      </c>
      <c r="B2267" s="6" t="s">
        <v>2812</v>
      </c>
      <c r="C2267" s="2" t="s">
        <v>461</v>
      </c>
      <c r="D2267" s="4">
        <v>1.4887300000000001</v>
      </c>
      <c r="E2267" s="4">
        <v>0.54571000000000003</v>
      </c>
      <c r="F2267" s="4">
        <v>2.3810000000000001E-2</v>
      </c>
    </row>
    <row r="2268" spans="1:6" x14ac:dyDescent="0.35">
      <c r="A2268" s="2" t="s">
        <v>2883</v>
      </c>
      <c r="B2268" s="6" t="s">
        <v>2812</v>
      </c>
      <c r="C2268" s="2" t="s">
        <v>461</v>
      </c>
      <c r="D2268" s="4">
        <v>1.4874400000000001</v>
      </c>
      <c r="E2268" s="4">
        <v>0.54590000000000005</v>
      </c>
      <c r="F2268" s="4">
        <v>2.2329999999999999E-2</v>
      </c>
    </row>
    <row r="2269" spans="1:6" x14ac:dyDescent="0.35">
      <c r="A2269" s="2" t="s">
        <v>2884</v>
      </c>
      <c r="B2269" s="6" t="s">
        <v>2812</v>
      </c>
      <c r="C2269" s="2" t="s">
        <v>461</v>
      </c>
      <c r="D2269" s="4">
        <v>1.4800899999999999</v>
      </c>
      <c r="E2269" s="4">
        <v>0.54230999999999996</v>
      </c>
      <c r="F2269" s="4">
        <v>2.2120000000000001E-2</v>
      </c>
    </row>
    <row r="2270" spans="1:6" x14ac:dyDescent="0.35">
      <c r="A2270" s="2" t="s">
        <v>2885</v>
      </c>
      <c r="B2270" s="6" t="s">
        <v>2812</v>
      </c>
      <c r="C2270" s="2" t="s">
        <v>461</v>
      </c>
      <c r="D2270" s="4">
        <v>1.4874400000000001</v>
      </c>
      <c r="E2270" s="4">
        <v>0.54590000000000005</v>
      </c>
      <c r="F2270" s="4">
        <v>2.2329999999999999E-2</v>
      </c>
    </row>
    <row r="2271" spans="1:6" x14ac:dyDescent="0.35">
      <c r="A2271" s="2" t="s">
        <v>2886</v>
      </c>
      <c r="B2271" s="6" t="s">
        <v>2812</v>
      </c>
      <c r="C2271" s="2" t="s">
        <v>461</v>
      </c>
      <c r="D2271" s="4">
        <v>1.4874400000000001</v>
      </c>
      <c r="E2271" s="4">
        <v>0.54590000000000005</v>
      </c>
      <c r="F2271" s="4">
        <v>2.2329999999999999E-2</v>
      </c>
    </row>
    <row r="2272" spans="1:6" x14ac:dyDescent="0.35">
      <c r="A2272" s="2" t="s">
        <v>2887</v>
      </c>
      <c r="B2272" s="6" t="s">
        <v>2812</v>
      </c>
      <c r="C2272" s="2" t="s">
        <v>461</v>
      </c>
      <c r="D2272" s="4">
        <v>1.4874400000000001</v>
      </c>
      <c r="E2272" s="4">
        <v>0.54590000000000005</v>
      </c>
      <c r="F2272" s="4">
        <v>2.2329999999999999E-2</v>
      </c>
    </row>
    <row r="2273" spans="1:6" x14ac:dyDescent="0.35">
      <c r="A2273" s="2" t="s">
        <v>2888</v>
      </c>
      <c r="B2273" s="6" t="s">
        <v>2812</v>
      </c>
      <c r="C2273" s="2" t="s">
        <v>461</v>
      </c>
      <c r="D2273" s="4">
        <v>1.4887300000000001</v>
      </c>
      <c r="E2273" s="4">
        <v>0.54571000000000003</v>
      </c>
      <c r="F2273" s="4">
        <v>2.3810000000000001E-2</v>
      </c>
    </row>
    <row r="2274" spans="1:6" x14ac:dyDescent="0.35">
      <c r="A2274" s="2" t="s">
        <v>2889</v>
      </c>
      <c r="B2274" s="6" t="s">
        <v>2812</v>
      </c>
      <c r="C2274" s="2" t="s">
        <v>461</v>
      </c>
      <c r="D2274" s="4">
        <v>1.4874400000000001</v>
      </c>
      <c r="E2274" s="4">
        <v>0.54590000000000005</v>
      </c>
      <c r="F2274" s="4">
        <v>2.2329999999999999E-2</v>
      </c>
    </row>
    <row r="2275" spans="1:6" x14ac:dyDescent="0.35">
      <c r="A2275" s="2" t="s">
        <v>2890</v>
      </c>
      <c r="B2275" s="6" t="s">
        <v>2812</v>
      </c>
      <c r="C2275" s="2" t="s">
        <v>461</v>
      </c>
      <c r="D2275" s="4">
        <v>1.4874400000000001</v>
      </c>
      <c r="E2275" s="4">
        <v>0.54590000000000005</v>
      </c>
      <c r="F2275" s="4">
        <v>2.2329999999999999E-2</v>
      </c>
    </row>
    <row r="2276" spans="1:6" x14ac:dyDescent="0.35">
      <c r="A2276" s="2" t="s">
        <v>2891</v>
      </c>
      <c r="B2276" s="6" t="s">
        <v>2812</v>
      </c>
      <c r="C2276" s="2" t="s">
        <v>461</v>
      </c>
      <c r="D2276" s="4">
        <v>1.4874400000000001</v>
      </c>
      <c r="E2276" s="4">
        <v>0.54590000000000005</v>
      </c>
      <c r="F2276" s="4">
        <v>2.2329999999999999E-2</v>
      </c>
    </row>
    <row r="2277" spans="1:6" x14ac:dyDescent="0.35">
      <c r="A2277" s="2" t="s">
        <v>2892</v>
      </c>
      <c r="B2277" s="6" t="s">
        <v>2812</v>
      </c>
      <c r="C2277" s="2" t="s">
        <v>461</v>
      </c>
      <c r="D2277" s="4">
        <v>1.50535</v>
      </c>
      <c r="E2277" s="4">
        <v>0.67817000000000005</v>
      </c>
      <c r="F2277" s="4">
        <v>2.0899999999999998E-2</v>
      </c>
    </row>
    <row r="2278" spans="1:6" x14ac:dyDescent="0.35">
      <c r="A2278" s="2" t="s">
        <v>2893</v>
      </c>
      <c r="B2278" s="6" t="s">
        <v>2812</v>
      </c>
      <c r="C2278" s="2" t="s">
        <v>461</v>
      </c>
      <c r="D2278" s="4">
        <v>1.6590100000000001</v>
      </c>
      <c r="E2278" s="4">
        <v>0.79047999999999996</v>
      </c>
      <c r="F2278" s="4">
        <v>2.4510000000000001E-2</v>
      </c>
    </row>
    <row r="2279" spans="1:6" x14ac:dyDescent="0.35">
      <c r="A2279" s="2" t="s">
        <v>2894</v>
      </c>
      <c r="B2279" s="6" t="s">
        <v>2812</v>
      </c>
      <c r="C2279" s="2" t="s">
        <v>461</v>
      </c>
      <c r="D2279" s="4">
        <v>1.6590100000000001</v>
      </c>
      <c r="E2279" s="4">
        <v>0.79047999999999996</v>
      </c>
      <c r="F2279" s="4">
        <v>2.4510000000000001E-2</v>
      </c>
    </row>
    <row r="2280" spans="1:6" x14ac:dyDescent="0.35">
      <c r="A2280" s="2" t="s">
        <v>2895</v>
      </c>
      <c r="B2280" s="6" t="s">
        <v>2812</v>
      </c>
      <c r="C2280" s="2" t="s">
        <v>461</v>
      </c>
      <c r="D2280" s="4">
        <v>1.42475</v>
      </c>
      <c r="E2280" s="4">
        <v>0.51958000000000004</v>
      </c>
      <c r="F2280" s="4">
        <v>2.3269999999999999E-2</v>
      </c>
    </row>
    <row r="2281" spans="1:6" x14ac:dyDescent="0.35">
      <c r="A2281" s="2" t="s">
        <v>2896</v>
      </c>
      <c r="B2281" s="6" t="s">
        <v>2812</v>
      </c>
      <c r="C2281" s="2" t="s">
        <v>461</v>
      </c>
      <c r="D2281" s="4">
        <v>1.4234599999999999</v>
      </c>
      <c r="E2281" s="4">
        <v>0.51976999999999995</v>
      </c>
      <c r="F2281" s="4">
        <v>2.179E-2</v>
      </c>
    </row>
    <row r="2282" spans="1:6" x14ac:dyDescent="0.35">
      <c r="A2282" s="2" t="s">
        <v>2897</v>
      </c>
      <c r="B2282" s="6" t="s">
        <v>2812</v>
      </c>
      <c r="C2282" s="2" t="s">
        <v>461</v>
      </c>
      <c r="D2282" s="4">
        <v>1.4302299999999999</v>
      </c>
      <c r="E2282" s="4">
        <v>0.52315</v>
      </c>
      <c r="F2282" s="4">
        <v>2.196E-2</v>
      </c>
    </row>
    <row r="2283" spans="1:6" x14ac:dyDescent="0.35">
      <c r="A2283" s="2" t="s">
        <v>2898</v>
      </c>
      <c r="B2283" s="6" t="s">
        <v>2812</v>
      </c>
      <c r="C2283" s="2" t="s">
        <v>461</v>
      </c>
      <c r="D2283" s="4">
        <v>1.41919</v>
      </c>
      <c r="E2283" s="4">
        <v>0.51210999999999995</v>
      </c>
      <c r="F2283" s="4">
        <v>2.196E-2</v>
      </c>
    </row>
    <row r="2284" spans="1:6" x14ac:dyDescent="0.35">
      <c r="A2284" s="2" t="s">
        <v>2899</v>
      </c>
      <c r="B2284" s="6" t="s">
        <v>2812</v>
      </c>
      <c r="C2284" s="2" t="s">
        <v>461</v>
      </c>
      <c r="D2284" s="4">
        <v>1.41919</v>
      </c>
      <c r="E2284" s="4">
        <v>0.51210999999999995</v>
      </c>
      <c r="F2284" s="4">
        <v>2.196E-2</v>
      </c>
    </row>
    <row r="2285" spans="1:6" x14ac:dyDescent="0.35">
      <c r="A2285" s="2" t="s">
        <v>2900</v>
      </c>
      <c r="B2285" s="6" t="s">
        <v>2812</v>
      </c>
      <c r="C2285" s="2" t="s">
        <v>461</v>
      </c>
      <c r="D2285" s="4">
        <v>1.4993300000000001</v>
      </c>
      <c r="E2285" s="4">
        <v>0.67452000000000001</v>
      </c>
      <c r="F2285" s="4">
        <v>2.0990000000000002E-2</v>
      </c>
    </row>
    <row r="2286" spans="1:6" x14ac:dyDescent="0.35">
      <c r="A2286" s="2" t="s">
        <v>2901</v>
      </c>
      <c r="B2286" s="6" t="s">
        <v>2812</v>
      </c>
      <c r="C2286" s="2" t="s">
        <v>461</v>
      </c>
      <c r="D2286" s="4">
        <v>1.49447</v>
      </c>
      <c r="E2286" s="4">
        <v>0.66852999999999996</v>
      </c>
      <c r="F2286" s="4">
        <v>1.966E-2</v>
      </c>
    </row>
    <row r="2287" spans="1:6" x14ac:dyDescent="0.35">
      <c r="A2287" s="2" t="s">
        <v>2902</v>
      </c>
      <c r="B2287" s="6" t="s">
        <v>2812</v>
      </c>
      <c r="C2287" s="2" t="s">
        <v>461</v>
      </c>
      <c r="D2287" s="4">
        <v>1.42455</v>
      </c>
      <c r="E2287" s="4">
        <v>0.55869999999999997</v>
      </c>
      <c r="F2287" s="4">
        <v>2.3599999999999999E-2</v>
      </c>
    </row>
    <row r="2288" spans="1:6" x14ac:dyDescent="0.35">
      <c r="A2288" s="2" t="s">
        <v>2903</v>
      </c>
      <c r="B2288" s="6" t="s">
        <v>2812</v>
      </c>
      <c r="C2288" s="2" t="s">
        <v>461</v>
      </c>
      <c r="D2288" s="4">
        <v>1.42326</v>
      </c>
      <c r="E2288" s="4">
        <v>0.55889</v>
      </c>
      <c r="F2288" s="4">
        <v>2.2120000000000001E-2</v>
      </c>
    </row>
    <row r="2289" spans="1:6" x14ac:dyDescent="0.35">
      <c r="A2289" s="2" t="s">
        <v>2904</v>
      </c>
      <c r="B2289" s="6" t="s">
        <v>2812</v>
      </c>
      <c r="C2289" s="2" t="s">
        <v>461</v>
      </c>
      <c r="D2289" s="4">
        <v>1.4190199999999999</v>
      </c>
      <c r="E2289" s="4">
        <v>0.55159000000000002</v>
      </c>
      <c r="F2289" s="4">
        <v>2.2329999999999999E-2</v>
      </c>
    </row>
    <row r="2290" spans="1:6" x14ac:dyDescent="0.35">
      <c r="A2290" s="2" t="s">
        <v>2905</v>
      </c>
      <c r="B2290" s="6" t="s">
        <v>2812</v>
      </c>
      <c r="C2290" s="2" t="s">
        <v>461</v>
      </c>
      <c r="D2290" s="4">
        <v>1.41231</v>
      </c>
      <c r="E2290" s="4">
        <v>0.54793999999999998</v>
      </c>
      <c r="F2290" s="4">
        <v>2.2120000000000001E-2</v>
      </c>
    </row>
    <row r="2291" spans="1:6" x14ac:dyDescent="0.35">
      <c r="A2291" s="2" t="s">
        <v>2906</v>
      </c>
      <c r="B2291" s="6" t="s">
        <v>2812</v>
      </c>
      <c r="C2291" s="2" t="s">
        <v>461</v>
      </c>
      <c r="D2291" s="4">
        <v>1.4190199999999999</v>
      </c>
      <c r="E2291" s="4">
        <v>0.55159000000000002</v>
      </c>
      <c r="F2291" s="4">
        <v>2.2329999999999999E-2</v>
      </c>
    </row>
    <row r="2292" spans="1:6" x14ac:dyDescent="0.35">
      <c r="A2292" s="2" t="s">
        <v>2907</v>
      </c>
      <c r="B2292" s="6" t="s">
        <v>2812</v>
      </c>
      <c r="C2292" s="2" t="s">
        <v>461</v>
      </c>
      <c r="D2292" s="4">
        <v>1.4190199999999999</v>
      </c>
      <c r="E2292" s="4">
        <v>0.55159000000000002</v>
      </c>
      <c r="F2292" s="4">
        <v>2.2329999999999999E-2</v>
      </c>
    </row>
    <row r="2293" spans="1:6" x14ac:dyDescent="0.35">
      <c r="A2293" s="2" t="s">
        <v>2908</v>
      </c>
      <c r="B2293" s="6" t="s">
        <v>2812</v>
      </c>
      <c r="C2293" s="2" t="s">
        <v>461</v>
      </c>
      <c r="D2293" s="4">
        <v>1.4190199999999999</v>
      </c>
      <c r="E2293" s="4">
        <v>0.55159000000000002</v>
      </c>
      <c r="F2293" s="4">
        <v>2.2329999999999999E-2</v>
      </c>
    </row>
    <row r="2294" spans="1:6" x14ac:dyDescent="0.35">
      <c r="A2294" s="2" t="s">
        <v>2909</v>
      </c>
      <c r="B2294" s="6" t="s">
        <v>2812</v>
      </c>
      <c r="C2294" s="2" t="s">
        <v>461</v>
      </c>
      <c r="D2294" s="4">
        <v>1.4446099999999999</v>
      </c>
      <c r="E2294" s="4">
        <v>0.55595000000000006</v>
      </c>
      <c r="F2294" s="4">
        <v>2.18E-2</v>
      </c>
    </row>
    <row r="2295" spans="1:6" x14ac:dyDescent="0.35">
      <c r="A2295" s="2" t="s">
        <v>2910</v>
      </c>
      <c r="B2295" s="6" t="s">
        <v>2812</v>
      </c>
      <c r="C2295" s="2" t="s">
        <v>461</v>
      </c>
      <c r="D2295" s="4">
        <v>1.48577</v>
      </c>
      <c r="E2295" s="4">
        <v>0.57443999999999995</v>
      </c>
      <c r="F2295" s="4">
        <v>2.316E-2</v>
      </c>
    </row>
    <row r="2296" spans="1:6" x14ac:dyDescent="0.35">
      <c r="A2296" s="2" t="s">
        <v>2911</v>
      </c>
      <c r="B2296" s="6" t="s">
        <v>2812</v>
      </c>
      <c r="C2296" s="2" t="s">
        <v>461</v>
      </c>
      <c r="D2296" s="4">
        <v>1.6519999999999999</v>
      </c>
      <c r="E2296" s="4">
        <v>0.78495000000000004</v>
      </c>
      <c r="F2296" s="4">
        <v>2.3029999999999998E-2</v>
      </c>
    </row>
    <row r="2297" spans="1:6" x14ac:dyDescent="0.35">
      <c r="A2297" s="2" t="s">
        <v>2912</v>
      </c>
      <c r="B2297" s="6" t="s">
        <v>2812</v>
      </c>
      <c r="C2297" s="2" t="s">
        <v>461</v>
      </c>
      <c r="D2297" s="4">
        <v>1.3892199999999999</v>
      </c>
      <c r="E2297" s="4">
        <v>0.49506</v>
      </c>
      <c r="F2297" s="4">
        <v>2.3099999999999999E-2</v>
      </c>
    </row>
    <row r="2298" spans="1:6" x14ac:dyDescent="0.35">
      <c r="A2298" s="2" t="s">
        <v>2913</v>
      </c>
      <c r="B2298" s="6" t="s">
        <v>2812</v>
      </c>
      <c r="C2298" s="2" t="s">
        <v>461</v>
      </c>
      <c r="D2298" s="4">
        <v>1.3892199999999999</v>
      </c>
      <c r="E2298" s="4">
        <v>0.49506</v>
      </c>
      <c r="F2298" s="4">
        <v>2.3099999999999999E-2</v>
      </c>
    </row>
    <row r="2299" spans="1:6" x14ac:dyDescent="0.35">
      <c r="A2299" s="2" t="s">
        <v>2914</v>
      </c>
      <c r="B2299" s="6" t="s">
        <v>2812</v>
      </c>
      <c r="C2299" s="2" t="s">
        <v>461</v>
      </c>
      <c r="D2299" s="4">
        <v>1.39313</v>
      </c>
      <c r="E2299" s="4">
        <v>0.50044999999999995</v>
      </c>
      <c r="F2299" s="4">
        <v>2.162E-2</v>
      </c>
    </row>
    <row r="2300" spans="1:6" x14ac:dyDescent="0.35">
      <c r="A2300" s="2" t="s">
        <v>2915</v>
      </c>
      <c r="B2300" s="6" t="s">
        <v>2812</v>
      </c>
      <c r="C2300" s="2" t="s">
        <v>461</v>
      </c>
      <c r="D2300" s="4">
        <v>1.3879300000000001</v>
      </c>
      <c r="E2300" s="4">
        <v>0.49525000000000002</v>
      </c>
      <c r="F2300" s="4">
        <v>2.162E-2</v>
      </c>
    </row>
    <row r="2301" spans="1:6" x14ac:dyDescent="0.35">
      <c r="A2301" s="2" t="s">
        <v>2916</v>
      </c>
      <c r="B2301" s="6" t="s">
        <v>2812</v>
      </c>
      <c r="C2301" s="2" t="s">
        <v>461</v>
      </c>
      <c r="D2301" s="4">
        <v>1.3879300000000001</v>
      </c>
      <c r="E2301" s="4">
        <v>0.49525000000000002</v>
      </c>
      <c r="F2301" s="4">
        <v>2.162E-2</v>
      </c>
    </row>
    <row r="2302" spans="1:6" x14ac:dyDescent="0.35">
      <c r="A2302" s="2" t="s">
        <v>2917</v>
      </c>
      <c r="B2302" s="6" t="s">
        <v>2812</v>
      </c>
      <c r="C2302" s="2" t="s">
        <v>461</v>
      </c>
      <c r="D2302" s="4">
        <v>1.3879300000000001</v>
      </c>
      <c r="E2302" s="4">
        <v>0.49525000000000002</v>
      </c>
      <c r="F2302" s="4">
        <v>2.162E-2</v>
      </c>
    </row>
    <row r="2303" spans="1:6" x14ac:dyDescent="0.35">
      <c r="A2303" s="2" t="s">
        <v>2918</v>
      </c>
      <c r="B2303" s="6" t="s">
        <v>2812</v>
      </c>
      <c r="C2303" s="2" t="s">
        <v>461</v>
      </c>
      <c r="D2303" s="4">
        <v>1.6487799999999999</v>
      </c>
      <c r="E2303" s="4">
        <v>0.78474999999999995</v>
      </c>
      <c r="F2303" s="4">
        <v>2.282E-2</v>
      </c>
    </row>
    <row r="2304" spans="1:6" x14ac:dyDescent="0.35">
      <c r="A2304" s="2" t="s">
        <v>2919</v>
      </c>
      <c r="B2304" s="6" t="s">
        <v>2812</v>
      </c>
      <c r="C2304" s="2" t="s">
        <v>461</v>
      </c>
      <c r="D2304" s="4">
        <v>1.6577200000000001</v>
      </c>
      <c r="E2304" s="4">
        <v>0.79066999999999998</v>
      </c>
      <c r="F2304" s="4">
        <v>2.3029999999999998E-2</v>
      </c>
    </row>
    <row r="2305" spans="1:6" x14ac:dyDescent="0.35">
      <c r="A2305" s="2" t="s">
        <v>2920</v>
      </c>
      <c r="B2305" s="6" t="s">
        <v>2812</v>
      </c>
      <c r="C2305" s="2" t="s">
        <v>461</v>
      </c>
      <c r="D2305" s="4">
        <v>1.6487799999999999</v>
      </c>
      <c r="E2305" s="4">
        <v>0.78474999999999995</v>
      </c>
      <c r="F2305" s="4">
        <v>2.282E-2</v>
      </c>
    </row>
    <row r="2306" spans="1:6" x14ac:dyDescent="0.35">
      <c r="A2306" s="2" t="s">
        <v>2921</v>
      </c>
      <c r="B2306" s="6" t="s">
        <v>2812</v>
      </c>
      <c r="C2306" s="2" t="s">
        <v>461</v>
      </c>
      <c r="D2306" s="4">
        <v>1.6590100000000001</v>
      </c>
      <c r="E2306" s="4">
        <v>0.79047999999999996</v>
      </c>
      <c r="F2306" s="4">
        <v>2.4510000000000001E-2</v>
      </c>
    </row>
    <row r="2307" spans="1:6" x14ac:dyDescent="0.35">
      <c r="A2307" s="2" t="s">
        <v>2922</v>
      </c>
      <c r="B2307" s="6" t="s">
        <v>2812</v>
      </c>
      <c r="C2307" s="2" t="s">
        <v>461</v>
      </c>
      <c r="D2307" s="4">
        <v>1.6590100000000001</v>
      </c>
      <c r="E2307" s="4">
        <v>0.79047999999999996</v>
      </c>
      <c r="F2307" s="4">
        <v>2.4510000000000001E-2</v>
      </c>
    </row>
    <row r="2308" spans="1:6" x14ac:dyDescent="0.35">
      <c r="A2308" s="2" t="s">
        <v>2923</v>
      </c>
      <c r="B2308" s="6" t="s">
        <v>2812</v>
      </c>
      <c r="C2308" s="2" t="s">
        <v>461</v>
      </c>
      <c r="D2308" s="4">
        <v>1.6577200000000001</v>
      </c>
      <c r="E2308" s="4">
        <v>0.79066999999999998</v>
      </c>
      <c r="F2308" s="4">
        <v>2.3029999999999998E-2</v>
      </c>
    </row>
    <row r="2309" spans="1:6" x14ac:dyDescent="0.35">
      <c r="A2309" s="2" t="s">
        <v>2924</v>
      </c>
      <c r="B2309" s="6" t="s">
        <v>2812</v>
      </c>
      <c r="C2309" s="2" t="s">
        <v>461</v>
      </c>
      <c r="D2309" s="4">
        <v>1.6487799999999999</v>
      </c>
      <c r="E2309" s="4">
        <v>0.78474999999999995</v>
      </c>
      <c r="F2309" s="4">
        <v>2.282E-2</v>
      </c>
    </row>
    <row r="2310" spans="1:6" x14ac:dyDescent="0.35">
      <c r="A2310" s="2" t="s">
        <v>2925</v>
      </c>
      <c r="B2310" s="6" t="s">
        <v>2812</v>
      </c>
      <c r="C2310" s="2" t="s">
        <v>461</v>
      </c>
      <c r="D2310" s="4">
        <v>1.39317</v>
      </c>
      <c r="E2310" s="4">
        <v>0.50048999999999999</v>
      </c>
      <c r="F2310" s="4">
        <v>2.162E-2</v>
      </c>
    </row>
    <row r="2311" spans="1:6" x14ac:dyDescent="0.35">
      <c r="A2311" s="2" t="s">
        <v>2926</v>
      </c>
      <c r="B2311" s="6" t="e">
        <v>#N/A</v>
      </c>
      <c r="C2311" s="2" t="e">
        <v>#N/A</v>
      </c>
      <c r="D2311" s="4">
        <v>1.4085099999999999</v>
      </c>
      <c r="E2311" s="4">
        <v>0.54266000000000003</v>
      </c>
      <c r="F2311" s="4">
        <v>2.3599999999999999E-2</v>
      </c>
    </row>
    <row r="2312" spans="1:6" x14ac:dyDescent="0.35">
      <c r="A2312" s="2" t="s">
        <v>2927</v>
      </c>
      <c r="B2312" s="6" t="e">
        <v>#N/A</v>
      </c>
      <c r="C2312" s="2" t="e">
        <v>#N/A</v>
      </c>
      <c r="D2312" s="4">
        <v>1.4085099999999999</v>
      </c>
      <c r="E2312" s="4">
        <v>0.54266000000000003</v>
      </c>
      <c r="F2312" s="4">
        <v>2.3599999999999999E-2</v>
      </c>
    </row>
    <row r="2313" spans="1:6" x14ac:dyDescent="0.35">
      <c r="A2313" s="2" t="s">
        <v>2928</v>
      </c>
      <c r="B2313" s="6" t="e">
        <v>#N/A</v>
      </c>
      <c r="C2313" s="2" t="e">
        <v>#N/A</v>
      </c>
      <c r="D2313" s="4">
        <v>1.4072199999999999</v>
      </c>
      <c r="E2313" s="4">
        <v>0.54285000000000005</v>
      </c>
      <c r="F2313" s="4">
        <v>2.2120000000000001E-2</v>
      </c>
    </row>
    <row r="2314" spans="1:6" x14ac:dyDescent="0.35">
      <c r="A2314" s="2" t="s">
        <v>2929</v>
      </c>
      <c r="B2314" s="6" t="e">
        <v>#N/A</v>
      </c>
      <c r="C2314" s="2" t="e">
        <v>#N/A</v>
      </c>
      <c r="D2314" s="4">
        <v>1.40004</v>
      </c>
      <c r="E2314" s="4">
        <v>0.54566000000000003</v>
      </c>
      <c r="F2314" s="4">
        <v>2.2919999999999999E-2</v>
      </c>
    </row>
    <row r="2315" spans="1:6" x14ac:dyDescent="0.35">
      <c r="A2315" s="2" t="s">
        <v>2930</v>
      </c>
      <c r="B2315" s="6" t="s">
        <v>2812</v>
      </c>
      <c r="C2315" s="2" t="s">
        <v>461</v>
      </c>
      <c r="D2315" s="4">
        <v>1.3987499999999999</v>
      </c>
      <c r="E2315" s="4">
        <v>0.54584999999999995</v>
      </c>
      <c r="F2315" s="4">
        <v>2.1440000000000001E-2</v>
      </c>
    </row>
    <row r="2316" spans="1:6" x14ac:dyDescent="0.35">
      <c r="A2316" s="2" t="s">
        <v>2931</v>
      </c>
      <c r="B2316" s="6" t="s">
        <v>2812</v>
      </c>
      <c r="C2316" s="2" t="s">
        <v>461</v>
      </c>
      <c r="D2316" s="4">
        <v>1.4053</v>
      </c>
      <c r="E2316" s="4">
        <v>0.54947999999999997</v>
      </c>
      <c r="F2316" s="4">
        <v>2.162E-2</v>
      </c>
    </row>
    <row r="2317" spans="1:6" x14ac:dyDescent="0.35">
      <c r="A2317" s="2" t="s">
        <v>2932</v>
      </c>
      <c r="B2317" s="6" t="e">
        <v>#N/A</v>
      </c>
      <c r="C2317" s="2" t="e">
        <v>#N/A</v>
      </c>
      <c r="D2317" s="4">
        <v>1.8365100000000001</v>
      </c>
      <c r="E2317" s="4">
        <v>0.84501000000000004</v>
      </c>
      <c r="F2317" s="4">
        <v>3.8339999999999999E-2</v>
      </c>
    </row>
    <row r="2318" spans="1:6" x14ac:dyDescent="0.35">
      <c r="A2318" s="2" t="s">
        <v>2933</v>
      </c>
      <c r="B2318" s="6" t="e">
        <v>#N/A</v>
      </c>
      <c r="C2318" s="2" t="e">
        <v>#N/A</v>
      </c>
      <c r="D2318" s="4">
        <v>1.8352200000000001</v>
      </c>
      <c r="E2318" s="4">
        <v>0.84519999999999995</v>
      </c>
      <c r="F2318" s="4">
        <v>3.6859999999999997E-2</v>
      </c>
    </row>
    <row r="2319" spans="1:6" x14ac:dyDescent="0.35">
      <c r="A2319" s="2" t="s">
        <v>2934</v>
      </c>
      <c r="B2319" s="6" t="s">
        <v>2935</v>
      </c>
      <c r="C2319" s="2" t="s">
        <v>461</v>
      </c>
      <c r="D2319" s="4">
        <v>2.13564</v>
      </c>
      <c r="E2319" s="4">
        <v>1.0718799999999999</v>
      </c>
      <c r="F2319" s="4">
        <v>2.9780000000000001E-2</v>
      </c>
    </row>
    <row r="2320" spans="1:6" x14ac:dyDescent="0.35">
      <c r="A2320" s="2" t="s">
        <v>2936</v>
      </c>
      <c r="B2320" s="6" t="e">
        <v>#N/A</v>
      </c>
      <c r="C2320" s="2" t="e">
        <v>#N/A</v>
      </c>
      <c r="D2320" s="4">
        <v>2.33392</v>
      </c>
      <c r="E2320" s="4">
        <v>1.18344</v>
      </c>
      <c r="F2320" s="4">
        <v>3.2919999999999998E-2</v>
      </c>
    </row>
    <row r="2321" spans="1:6" x14ac:dyDescent="0.35">
      <c r="A2321" s="2" t="s">
        <v>2937</v>
      </c>
      <c r="B2321" s="6" t="s">
        <v>2935</v>
      </c>
      <c r="C2321" s="2" t="s">
        <v>461</v>
      </c>
      <c r="D2321" s="4">
        <v>2.1821299999999999</v>
      </c>
      <c r="E2321" s="4">
        <v>1.1030800000000001</v>
      </c>
      <c r="F2321" s="4">
        <v>3.0689999999999999E-2</v>
      </c>
    </row>
    <row r="2322" spans="1:6" x14ac:dyDescent="0.35">
      <c r="A2322" s="2" t="s">
        <v>2938</v>
      </c>
      <c r="B2322" s="6" t="s">
        <v>2935</v>
      </c>
      <c r="C2322" s="2" t="s">
        <v>461</v>
      </c>
      <c r="D2322" s="4">
        <v>2.1369799999999999</v>
      </c>
      <c r="E2322" s="4">
        <v>1.07185</v>
      </c>
      <c r="F2322" s="4">
        <v>3.1150000000000001E-2</v>
      </c>
    </row>
    <row r="2323" spans="1:6" x14ac:dyDescent="0.35">
      <c r="A2323" s="2" t="s">
        <v>2939</v>
      </c>
      <c r="B2323" s="6" t="s">
        <v>2935</v>
      </c>
      <c r="C2323" s="2" t="s">
        <v>461</v>
      </c>
      <c r="D2323" s="4">
        <v>2.1369799999999999</v>
      </c>
      <c r="E2323" s="4">
        <v>1.07185</v>
      </c>
      <c r="F2323" s="4">
        <v>3.1150000000000001E-2</v>
      </c>
    </row>
    <row r="2324" spans="1:6" x14ac:dyDescent="0.35">
      <c r="A2324" s="2" t="s">
        <v>2940</v>
      </c>
      <c r="B2324" s="6" t="s">
        <v>2935</v>
      </c>
      <c r="C2324" s="2" t="s">
        <v>461</v>
      </c>
      <c r="D2324" s="4">
        <v>2.1821299999999999</v>
      </c>
      <c r="E2324" s="4">
        <v>1.1030800000000001</v>
      </c>
      <c r="F2324" s="4">
        <v>3.0689999999999999E-2</v>
      </c>
    </row>
    <row r="2325" spans="1:6" x14ac:dyDescent="0.35">
      <c r="A2325" s="2" t="s">
        <v>2941</v>
      </c>
      <c r="B2325" s="6" t="s">
        <v>2935</v>
      </c>
      <c r="C2325" s="2" t="s">
        <v>461</v>
      </c>
      <c r="D2325" s="4">
        <v>2.1821299999999999</v>
      </c>
      <c r="E2325" s="4">
        <v>1.1030800000000001</v>
      </c>
      <c r="F2325" s="4">
        <v>3.0689999999999999E-2</v>
      </c>
    </row>
    <row r="2326" spans="1:6" x14ac:dyDescent="0.35">
      <c r="A2326" s="2" t="s">
        <v>2942</v>
      </c>
      <c r="B2326" s="6" t="s">
        <v>2935</v>
      </c>
      <c r="C2326" s="2" t="s">
        <v>461</v>
      </c>
      <c r="D2326" s="4">
        <v>2.1821299999999999</v>
      </c>
      <c r="E2326" s="4">
        <v>1.1030800000000001</v>
      </c>
      <c r="F2326" s="4">
        <v>3.0689999999999999E-2</v>
      </c>
    </row>
    <row r="2327" spans="1:6" x14ac:dyDescent="0.35">
      <c r="A2327" s="2" t="s">
        <v>2943</v>
      </c>
      <c r="B2327" s="6" t="s">
        <v>2935</v>
      </c>
      <c r="C2327" s="2" t="s">
        <v>461</v>
      </c>
      <c r="D2327" s="4">
        <v>2.1821299999999999</v>
      </c>
      <c r="E2327" s="4">
        <v>1.1030800000000001</v>
      </c>
      <c r="F2327" s="4">
        <v>3.0689999999999999E-2</v>
      </c>
    </row>
    <row r="2328" spans="1:6" x14ac:dyDescent="0.35">
      <c r="A2328" s="2" t="s">
        <v>2944</v>
      </c>
      <c r="B2328" s="6" t="e">
        <v>#N/A</v>
      </c>
      <c r="C2328" s="2" t="e">
        <v>#N/A</v>
      </c>
      <c r="D2328" s="4">
        <v>2.56602</v>
      </c>
      <c r="E2328" s="4">
        <v>1.6778</v>
      </c>
      <c r="F2328" s="4">
        <v>3.2530000000000003E-2</v>
      </c>
    </row>
    <row r="2329" spans="1:6" x14ac:dyDescent="0.35">
      <c r="A2329" s="2" t="s">
        <v>2945</v>
      </c>
      <c r="B2329" s="6" t="e">
        <v>#N/A</v>
      </c>
      <c r="C2329" s="2" t="e">
        <v>#N/A</v>
      </c>
      <c r="D2329" s="4">
        <v>2.5673599999999999</v>
      </c>
      <c r="E2329" s="4">
        <v>1.67777</v>
      </c>
      <c r="F2329" s="4">
        <v>3.39E-2</v>
      </c>
    </row>
    <row r="2330" spans="1:6" x14ac:dyDescent="0.35">
      <c r="A2330" s="2" t="s">
        <v>2946</v>
      </c>
      <c r="B2330" s="6" t="e">
        <v>#N/A</v>
      </c>
      <c r="C2330" s="2" t="e">
        <v>#N/A</v>
      </c>
      <c r="D2330" s="4">
        <v>2.5673599999999999</v>
      </c>
      <c r="E2330" s="4">
        <v>1.67777</v>
      </c>
      <c r="F2330" s="4">
        <v>3.39E-2</v>
      </c>
    </row>
    <row r="2331" spans="1:6" x14ac:dyDescent="0.35">
      <c r="A2331" s="2" t="s">
        <v>2947</v>
      </c>
      <c r="B2331" s="6" t="s">
        <v>2935</v>
      </c>
      <c r="C2331" s="2" t="s">
        <v>461</v>
      </c>
      <c r="D2331" s="4">
        <v>2.10609</v>
      </c>
      <c r="E2331" s="4">
        <v>1.07046</v>
      </c>
      <c r="F2331" s="4">
        <v>2.7459999999999998E-2</v>
      </c>
    </row>
    <row r="2332" spans="1:6" x14ac:dyDescent="0.35">
      <c r="A2332" s="2" t="s">
        <v>2948</v>
      </c>
      <c r="B2332" s="6" t="s">
        <v>2935</v>
      </c>
      <c r="C2332" s="2" t="s">
        <v>461</v>
      </c>
      <c r="D2332" s="4">
        <v>2.10609</v>
      </c>
      <c r="E2332" s="4">
        <v>1.07046</v>
      </c>
      <c r="F2332" s="4">
        <v>2.7459999999999998E-2</v>
      </c>
    </row>
    <row r="2333" spans="1:6" x14ac:dyDescent="0.35">
      <c r="A2333" s="2" t="s">
        <v>2949</v>
      </c>
      <c r="B2333" s="6" t="s">
        <v>2935</v>
      </c>
      <c r="C2333" s="2" t="s">
        <v>461</v>
      </c>
      <c r="D2333" s="4">
        <v>2.0927500000000001</v>
      </c>
      <c r="E2333" s="4">
        <v>1.0584899999999999</v>
      </c>
      <c r="F2333" s="4">
        <v>2.6089999999999999E-2</v>
      </c>
    </row>
    <row r="2334" spans="1:6" x14ac:dyDescent="0.35">
      <c r="A2334" s="2" t="s">
        <v>2950</v>
      </c>
      <c r="B2334" s="6" t="s">
        <v>2935</v>
      </c>
      <c r="C2334" s="2" t="s">
        <v>461</v>
      </c>
      <c r="D2334" s="4">
        <v>2.0927500000000001</v>
      </c>
      <c r="E2334" s="4">
        <v>1.0584899999999999</v>
      </c>
      <c r="F2334" s="4">
        <v>2.6089999999999999E-2</v>
      </c>
    </row>
    <row r="2335" spans="1:6" x14ac:dyDescent="0.35">
      <c r="A2335" s="2" t="s">
        <v>2951</v>
      </c>
      <c r="B2335" s="6" t="s">
        <v>2594</v>
      </c>
      <c r="C2335" s="2" t="s">
        <v>461</v>
      </c>
      <c r="D2335" s="4">
        <v>2.3825099999999999</v>
      </c>
      <c r="E2335" s="4">
        <v>1.30223</v>
      </c>
      <c r="F2335" s="4">
        <v>3.3640000000000003E-2</v>
      </c>
    </row>
    <row r="2336" spans="1:6" x14ac:dyDescent="0.35">
      <c r="A2336" s="2" t="s">
        <v>2952</v>
      </c>
      <c r="B2336" s="6" t="s">
        <v>2594</v>
      </c>
      <c r="C2336" s="2" t="s">
        <v>461</v>
      </c>
      <c r="D2336" s="4">
        <v>2.34518</v>
      </c>
      <c r="E2336" s="4">
        <v>1.2311000000000001</v>
      </c>
      <c r="F2336" s="4">
        <v>4.4299999999999999E-2</v>
      </c>
    </row>
    <row r="2337" spans="1:6" x14ac:dyDescent="0.35">
      <c r="A2337" s="2" t="s">
        <v>2953</v>
      </c>
      <c r="B2337" s="6" t="s">
        <v>2594</v>
      </c>
      <c r="C2337" s="2" t="s">
        <v>461</v>
      </c>
      <c r="D2337" s="4">
        <v>2.34518</v>
      </c>
      <c r="E2337" s="4">
        <v>1.2311000000000001</v>
      </c>
      <c r="F2337" s="4">
        <v>4.4299999999999999E-2</v>
      </c>
    </row>
    <row r="2338" spans="1:6" x14ac:dyDescent="0.35">
      <c r="A2338" s="2" t="s">
        <v>2954</v>
      </c>
      <c r="B2338" s="6" t="s">
        <v>2594</v>
      </c>
      <c r="C2338" s="2" t="s">
        <v>461</v>
      </c>
      <c r="D2338" s="4">
        <v>2.34518</v>
      </c>
      <c r="E2338" s="4">
        <v>1.2311000000000001</v>
      </c>
      <c r="F2338" s="4">
        <v>4.4299999999999999E-2</v>
      </c>
    </row>
    <row r="2339" spans="1:6" x14ac:dyDescent="0.35">
      <c r="A2339" s="2" t="s">
        <v>2955</v>
      </c>
      <c r="B2339" s="6" t="s">
        <v>2594</v>
      </c>
      <c r="C2339" s="2" t="s">
        <v>461</v>
      </c>
      <c r="D2339" s="4">
        <v>2.3621599999999998</v>
      </c>
      <c r="E2339" s="4">
        <v>1.24796</v>
      </c>
      <c r="F2339" s="4">
        <v>4.4420000000000001E-2</v>
      </c>
    </row>
    <row r="2340" spans="1:6" x14ac:dyDescent="0.35">
      <c r="A2340" s="2" t="s">
        <v>2956</v>
      </c>
      <c r="B2340" s="6" t="s">
        <v>2594</v>
      </c>
      <c r="C2340" s="2" t="s">
        <v>461</v>
      </c>
      <c r="D2340" s="4">
        <v>2.3304</v>
      </c>
      <c r="E2340" s="4">
        <v>1.27702</v>
      </c>
      <c r="F2340" s="4">
        <v>3.2669999999999998E-2</v>
      </c>
    </row>
    <row r="2341" spans="1:6" x14ac:dyDescent="0.35">
      <c r="A2341" s="2" t="s">
        <v>2957</v>
      </c>
      <c r="B2341" s="6" t="s">
        <v>2594</v>
      </c>
      <c r="C2341" s="2" t="s">
        <v>461</v>
      </c>
      <c r="D2341" s="4">
        <v>2.2943099999999998</v>
      </c>
      <c r="E2341" s="4">
        <v>1.20821</v>
      </c>
      <c r="F2341" s="4">
        <v>4.2999999999999997E-2</v>
      </c>
    </row>
    <row r="2342" spans="1:6" x14ac:dyDescent="0.35">
      <c r="A2342" s="2" t="s">
        <v>2958</v>
      </c>
      <c r="B2342" s="6" t="s">
        <v>2594</v>
      </c>
      <c r="C2342" s="2" t="s">
        <v>461</v>
      </c>
      <c r="D2342" s="4">
        <v>2.2396099999999999</v>
      </c>
      <c r="E2342" s="4">
        <v>1.1761699999999999</v>
      </c>
      <c r="F2342" s="4">
        <v>4.1849999999999998E-2</v>
      </c>
    </row>
    <row r="2343" spans="1:6" x14ac:dyDescent="0.35">
      <c r="A2343" s="2" t="s">
        <v>2959</v>
      </c>
      <c r="B2343" s="6" t="s">
        <v>2594</v>
      </c>
      <c r="C2343" s="2" t="s">
        <v>461</v>
      </c>
      <c r="D2343" s="4">
        <v>2.2396099999999999</v>
      </c>
      <c r="E2343" s="4">
        <v>1.1761699999999999</v>
      </c>
      <c r="F2343" s="4">
        <v>4.1849999999999998E-2</v>
      </c>
    </row>
    <row r="2344" spans="1:6" x14ac:dyDescent="0.35">
      <c r="A2344" s="2" t="s">
        <v>2960</v>
      </c>
      <c r="B2344" s="6" t="s">
        <v>2594</v>
      </c>
      <c r="C2344" s="2" t="s">
        <v>461</v>
      </c>
      <c r="D2344" s="4">
        <v>2.2396099999999999</v>
      </c>
      <c r="E2344" s="4">
        <v>1.1761699999999999</v>
      </c>
      <c r="F2344" s="4">
        <v>4.1849999999999998E-2</v>
      </c>
    </row>
    <row r="2345" spans="1:6" x14ac:dyDescent="0.35">
      <c r="A2345" s="2" t="s">
        <v>2961</v>
      </c>
      <c r="B2345" s="6" t="s">
        <v>2594</v>
      </c>
      <c r="C2345" s="2" t="s">
        <v>461</v>
      </c>
      <c r="D2345" s="4">
        <v>2.2396099999999999</v>
      </c>
      <c r="E2345" s="4">
        <v>1.1761699999999999</v>
      </c>
      <c r="F2345" s="4">
        <v>4.1849999999999998E-2</v>
      </c>
    </row>
    <row r="2346" spans="1:6" x14ac:dyDescent="0.35">
      <c r="A2346" s="2" t="s">
        <v>2962</v>
      </c>
      <c r="B2346" s="6" t="s">
        <v>2594</v>
      </c>
      <c r="C2346" s="2" t="s">
        <v>461</v>
      </c>
      <c r="D2346" s="4">
        <v>2.22363</v>
      </c>
      <c r="E2346" s="4">
        <v>1.1603000000000001</v>
      </c>
      <c r="F2346" s="4">
        <v>4.1739999999999999E-2</v>
      </c>
    </row>
    <row r="2347" spans="1:6" x14ac:dyDescent="0.35">
      <c r="A2347" s="2" t="s">
        <v>2963</v>
      </c>
      <c r="B2347" s="6" t="s">
        <v>2594</v>
      </c>
      <c r="C2347" s="2" t="s">
        <v>461</v>
      </c>
      <c r="D2347" s="4">
        <v>2.2248299999999999</v>
      </c>
      <c r="E2347" s="4">
        <v>1.1600600000000001</v>
      </c>
      <c r="F2347" s="4">
        <v>4.3180000000000003E-2</v>
      </c>
    </row>
    <row r="2348" spans="1:6" x14ac:dyDescent="0.35">
      <c r="A2348" s="2" t="s">
        <v>2964</v>
      </c>
      <c r="B2348" s="6" t="s">
        <v>2594</v>
      </c>
      <c r="C2348" s="2" t="s">
        <v>461</v>
      </c>
      <c r="D2348" s="4">
        <v>2.2599999999999998</v>
      </c>
      <c r="E2348" s="4">
        <v>1.22705</v>
      </c>
      <c r="F2348" s="4">
        <v>3.3140000000000003E-2</v>
      </c>
    </row>
    <row r="2349" spans="1:6" x14ac:dyDescent="0.35">
      <c r="A2349" s="2" t="s">
        <v>2965</v>
      </c>
      <c r="B2349" s="6" t="s">
        <v>2594</v>
      </c>
      <c r="C2349" s="2" t="s">
        <v>461</v>
      </c>
      <c r="D2349" s="4">
        <v>2.22363</v>
      </c>
      <c r="E2349" s="4">
        <v>1.1603000000000001</v>
      </c>
      <c r="F2349" s="4">
        <v>4.1739999999999999E-2</v>
      </c>
    </row>
    <row r="2350" spans="1:6" x14ac:dyDescent="0.35">
      <c r="A2350" s="2" t="s">
        <v>2966</v>
      </c>
      <c r="B2350" s="6" t="s">
        <v>2594</v>
      </c>
      <c r="C2350" s="2" t="s">
        <v>461</v>
      </c>
      <c r="D2350" s="4">
        <v>2.22363</v>
      </c>
      <c r="E2350" s="4">
        <v>1.1603000000000001</v>
      </c>
      <c r="F2350" s="4">
        <v>4.1739999999999999E-2</v>
      </c>
    </row>
    <row r="2351" spans="1:6" x14ac:dyDescent="0.35">
      <c r="A2351" s="2" t="s">
        <v>2967</v>
      </c>
      <c r="B2351" s="6" t="s">
        <v>2594</v>
      </c>
      <c r="C2351" s="2" t="s">
        <v>461</v>
      </c>
      <c r="D2351" s="4">
        <v>2.22363</v>
      </c>
      <c r="E2351" s="4">
        <v>1.1603000000000001</v>
      </c>
      <c r="F2351" s="4">
        <v>4.1739999999999999E-2</v>
      </c>
    </row>
    <row r="2352" spans="1:6" x14ac:dyDescent="0.35">
      <c r="A2352" s="2" t="s">
        <v>2968</v>
      </c>
      <c r="B2352" s="6" t="s">
        <v>2594</v>
      </c>
      <c r="C2352" s="2" t="s">
        <v>461</v>
      </c>
      <c r="D2352" s="4">
        <v>2.2396099999999999</v>
      </c>
      <c r="E2352" s="4">
        <v>1.1761699999999999</v>
      </c>
      <c r="F2352" s="4">
        <v>4.1849999999999998E-2</v>
      </c>
    </row>
    <row r="2353" spans="1:6" x14ac:dyDescent="0.35">
      <c r="A2353" s="2" t="s">
        <v>2969</v>
      </c>
      <c r="B2353" s="6" t="s">
        <v>2594</v>
      </c>
      <c r="C2353" s="2" t="s">
        <v>461</v>
      </c>
      <c r="D2353" s="4">
        <v>2.2396099999999999</v>
      </c>
      <c r="E2353" s="4">
        <v>1.1761699999999999</v>
      </c>
      <c r="F2353" s="4">
        <v>4.1849999999999998E-2</v>
      </c>
    </row>
    <row r="2354" spans="1:6" x14ac:dyDescent="0.35">
      <c r="A2354" s="2" t="s">
        <v>2970</v>
      </c>
      <c r="B2354" s="6" t="s">
        <v>2594</v>
      </c>
      <c r="C2354" s="2" t="s">
        <v>461</v>
      </c>
      <c r="D2354" s="4">
        <v>2.2396099999999999</v>
      </c>
      <c r="E2354" s="4">
        <v>1.1761699999999999</v>
      </c>
      <c r="F2354" s="4">
        <v>4.1849999999999998E-2</v>
      </c>
    </row>
    <row r="2355" spans="1:6" x14ac:dyDescent="0.35">
      <c r="A2355" s="2" t="s">
        <v>2971</v>
      </c>
      <c r="B2355" s="6" t="s">
        <v>2594</v>
      </c>
      <c r="C2355" s="2" t="s">
        <v>461</v>
      </c>
      <c r="D2355" s="4">
        <v>2.38856</v>
      </c>
      <c r="E2355" s="4">
        <v>1.30911</v>
      </c>
      <c r="F2355" s="4">
        <v>3.3250000000000002E-2</v>
      </c>
    </row>
    <row r="2356" spans="1:6" x14ac:dyDescent="0.35">
      <c r="A2356" s="2" t="s">
        <v>2972</v>
      </c>
      <c r="B2356" s="6" t="s">
        <v>2594</v>
      </c>
      <c r="C2356" s="2" t="s">
        <v>461</v>
      </c>
      <c r="D2356" s="4">
        <v>2.38856</v>
      </c>
      <c r="E2356" s="4">
        <v>1.30911</v>
      </c>
      <c r="F2356" s="4">
        <v>3.3250000000000002E-2</v>
      </c>
    </row>
    <row r="2357" spans="1:6" x14ac:dyDescent="0.35">
      <c r="A2357" s="2" t="s">
        <v>2973</v>
      </c>
      <c r="B2357" s="6" t="s">
        <v>2594</v>
      </c>
      <c r="C2357" s="2" t="s">
        <v>461</v>
      </c>
      <c r="D2357" s="4">
        <v>2.38856</v>
      </c>
      <c r="E2357" s="4">
        <v>1.30911</v>
      </c>
      <c r="F2357" s="4">
        <v>3.3250000000000002E-2</v>
      </c>
    </row>
    <row r="2358" spans="1:6" x14ac:dyDescent="0.35">
      <c r="A2358" s="2" t="s">
        <v>2974</v>
      </c>
      <c r="B2358" s="6" t="s">
        <v>2594</v>
      </c>
      <c r="C2358" s="2" t="s">
        <v>461</v>
      </c>
      <c r="D2358" s="4">
        <v>2.38856</v>
      </c>
      <c r="E2358" s="4">
        <v>1.30911</v>
      </c>
      <c r="F2358" s="4">
        <v>3.3250000000000002E-2</v>
      </c>
    </row>
    <row r="2359" spans="1:6" x14ac:dyDescent="0.35">
      <c r="A2359" s="2" t="s">
        <v>2975</v>
      </c>
      <c r="B2359" s="6" t="s">
        <v>2594</v>
      </c>
      <c r="C2359" s="2" t="s">
        <v>461</v>
      </c>
      <c r="D2359" s="4">
        <v>2.33134</v>
      </c>
      <c r="E2359" s="4">
        <v>1.2743599999999999</v>
      </c>
      <c r="F2359" s="4">
        <v>3.236E-2</v>
      </c>
    </row>
    <row r="2360" spans="1:6" x14ac:dyDescent="0.35">
      <c r="A2360" s="2" t="s">
        <v>2976</v>
      </c>
      <c r="B2360" s="6" t="s">
        <v>2594</v>
      </c>
      <c r="C2360" s="2" t="s">
        <v>461</v>
      </c>
      <c r="D2360" s="4">
        <v>2.33134</v>
      </c>
      <c r="E2360" s="4">
        <v>1.2743599999999999</v>
      </c>
      <c r="F2360" s="4">
        <v>3.236E-2</v>
      </c>
    </row>
    <row r="2361" spans="1:6" x14ac:dyDescent="0.35">
      <c r="A2361" s="2" t="s">
        <v>2977</v>
      </c>
      <c r="B2361" s="6" t="s">
        <v>2594</v>
      </c>
      <c r="C2361" s="2" t="s">
        <v>461</v>
      </c>
      <c r="D2361" s="4">
        <v>2.33134</v>
      </c>
      <c r="E2361" s="4">
        <v>1.2743599999999999</v>
      </c>
      <c r="F2361" s="4">
        <v>3.236E-2</v>
      </c>
    </row>
    <row r="2362" spans="1:6" x14ac:dyDescent="0.35">
      <c r="A2362" s="2" t="s">
        <v>2978</v>
      </c>
      <c r="B2362" s="6" t="s">
        <v>2594</v>
      </c>
      <c r="C2362" s="2" t="s">
        <v>461</v>
      </c>
      <c r="D2362" s="4">
        <v>2.38985</v>
      </c>
      <c r="E2362" s="4">
        <v>1.3089200000000001</v>
      </c>
      <c r="F2362" s="4">
        <v>3.4729999999999997E-2</v>
      </c>
    </row>
    <row r="2363" spans="1:6" x14ac:dyDescent="0.35">
      <c r="A2363" s="2" t="s">
        <v>2979</v>
      </c>
      <c r="B2363" s="6" t="s">
        <v>2594</v>
      </c>
      <c r="C2363" s="2" t="s">
        <v>461</v>
      </c>
      <c r="D2363" s="4">
        <v>2.5888900000000001</v>
      </c>
      <c r="E2363" s="4">
        <v>1.4306700000000001</v>
      </c>
      <c r="F2363" s="4">
        <v>3.635E-2</v>
      </c>
    </row>
    <row r="2364" spans="1:6" x14ac:dyDescent="0.35">
      <c r="A2364" s="2" t="s">
        <v>2980</v>
      </c>
      <c r="B2364" s="6" t="s">
        <v>2594</v>
      </c>
      <c r="C2364" s="2" t="s">
        <v>461</v>
      </c>
      <c r="D2364" s="4">
        <v>2.38856</v>
      </c>
      <c r="E2364" s="4">
        <v>1.30911</v>
      </c>
      <c r="F2364" s="4">
        <v>3.3250000000000002E-2</v>
      </c>
    </row>
    <row r="2365" spans="1:6" x14ac:dyDescent="0.35">
      <c r="A2365" s="2" t="s">
        <v>2981</v>
      </c>
      <c r="B2365" s="6" t="s">
        <v>2594</v>
      </c>
      <c r="C2365" s="2" t="s">
        <v>461</v>
      </c>
      <c r="D2365" s="4">
        <v>2.38856</v>
      </c>
      <c r="E2365" s="4">
        <v>1.30911</v>
      </c>
      <c r="F2365" s="4">
        <v>3.3250000000000002E-2</v>
      </c>
    </row>
    <row r="2366" spans="1:6" x14ac:dyDescent="0.35">
      <c r="A2366" s="2" t="s">
        <v>2982</v>
      </c>
      <c r="B2366" s="6" t="s">
        <v>2594</v>
      </c>
      <c r="C2366" s="2" t="s">
        <v>461</v>
      </c>
      <c r="D2366" s="4">
        <v>2.33263</v>
      </c>
      <c r="E2366" s="4">
        <v>1.27417</v>
      </c>
      <c r="F2366" s="4">
        <v>3.3840000000000002E-2</v>
      </c>
    </row>
    <row r="2367" spans="1:6" x14ac:dyDescent="0.35">
      <c r="A2367" s="2" t="s">
        <v>2983</v>
      </c>
      <c r="B2367" s="6" t="s">
        <v>2594</v>
      </c>
      <c r="C2367" s="2" t="s">
        <v>461</v>
      </c>
      <c r="D2367" s="4">
        <v>2.38856</v>
      </c>
      <c r="E2367" s="4">
        <v>1.30911</v>
      </c>
      <c r="F2367" s="4">
        <v>3.3250000000000002E-2</v>
      </c>
    </row>
    <row r="2368" spans="1:6" x14ac:dyDescent="0.35">
      <c r="A2368" s="2" t="s">
        <v>2984</v>
      </c>
      <c r="B2368" s="6" t="s">
        <v>2594</v>
      </c>
      <c r="C2368" s="2" t="s">
        <v>461</v>
      </c>
      <c r="D2368" s="4">
        <v>2.38856</v>
      </c>
      <c r="E2368" s="4">
        <v>1.30911</v>
      </c>
      <c r="F2368" s="4">
        <v>3.3250000000000002E-2</v>
      </c>
    </row>
    <row r="2369" spans="1:6" x14ac:dyDescent="0.35">
      <c r="A2369" s="2" t="s">
        <v>2985</v>
      </c>
      <c r="B2369" s="6" t="s">
        <v>2594</v>
      </c>
      <c r="C2369" s="2" t="s">
        <v>461</v>
      </c>
      <c r="D2369" s="4">
        <v>2.38856</v>
      </c>
      <c r="E2369" s="4">
        <v>1.30911</v>
      </c>
      <c r="F2369" s="4">
        <v>3.3250000000000002E-2</v>
      </c>
    </row>
    <row r="2370" spans="1:6" x14ac:dyDescent="0.35">
      <c r="A2370" s="2" t="s">
        <v>2986</v>
      </c>
      <c r="B2370" s="6" t="s">
        <v>2594</v>
      </c>
      <c r="C2370" s="2" t="s">
        <v>461</v>
      </c>
      <c r="D2370" s="4">
        <v>2.33263</v>
      </c>
      <c r="E2370" s="4">
        <v>1.27417</v>
      </c>
      <c r="F2370" s="4">
        <v>3.3840000000000002E-2</v>
      </c>
    </row>
    <row r="2371" spans="1:6" x14ac:dyDescent="0.35">
      <c r="A2371" s="2" t="s">
        <v>2987</v>
      </c>
      <c r="B2371" s="6" t="s">
        <v>2594</v>
      </c>
      <c r="C2371" s="2" t="s">
        <v>461</v>
      </c>
      <c r="D2371" s="4">
        <v>2.52413</v>
      </c>
      <c r="E2371" s="4">
        <v>1.46522</v>
      </c>
      <c r="F2371" s="4">
        <v>3.4290000000000001E-2</v>
      </c>
    </row>
    <row r="2372" spans="1:6" x14ac:dyDescent="0.35">
      <c r="A2372" s="2" t="s">
        <v>2988</v>
      </c>
      <c r="B2372" s="6" t="s">
        <v>2594</v>
      </c>
      <c r="C2372" s="2" t="s">
        <v>461</v>
      </c>
      <c r="D2372" s="4">
        <v>3.8058399999999999</v>
      </c>
      <c r="E2372" s="4">
        <v>2.4746600000000001</v>
      </c>
      <c r="F2372" s="4">
        <v>4.2599999999999999E-2</v>
      </c>
    </row>
    <row r="2373" spans="1:6" x14ac:dyDescent="0.35">
      <c r="A2373" s="2" t="s">
        <v>2989</v>
      </c>
      <c r="B2373" s="6" t="s">
        <v>2594</v>
      </c>
      <c r="C2373" s="2" t="s">
        <v>461</v>
      </c>
      <c r="D2373" s="4">
        <v>3.6932999999999998</v>
      </c>
      <c r="E2373" s="4">
        <v>2.3606400000000001</v>
      </c>
      <c r="F2373" s="4">
        <v>4.4080000000000001E-2</v>
      </c>
    </row>
    <row r="2374" spans="1:6" x14ac:dyDescent="0.35">
      <c r="A2374" s="2" t="s">
        <v>2990</v>
      </c>
      <c r="B2374" s="6" t="e">
        <v>#N/A</v>
      </c>
      <c r="C2374" s="2" t="e">
        <v>#N/A</v>
      </c>
      <c r="D2374" s="4">
        <v>3.8071299999999999</v>
      </c>
      <c r="E2374" s="4">
        <v>2.4744700000000002</v>
      </c>
      <c r="F2374" s="4">
        <v>4.4080000000000001E-2</v>
      </c>
    </row>
    <row r="2375" spans="1:6" x14ac:dyDescent="0.35">
      <c r="A2375" s="2" t="s">
        <v>2991</v>
      </c>
      <c r="B2375" s="6" t="s">
        <v>2594</v>
      </c>
      <c r="C2375" s="2" t="s">
        <v>461</v>
      </c>
      <c r="D2375" s="4">
        <v>1.9987600000000001</v>
      </c>
      <c r="E2375" s="4">
        <v>0.79934000000000005</v>
      </c>
      <c r="F2375" s="4">
        <v>3.1140000000000001E-2</v>
      </c>
    </row>
    <row r="2376" spans="1:6" x14ac:dyDescent="0.35">
      <c r="A2376" s="2" t="s">
        <v>2992</v>
      </c>
      <c r="B2376" s="6" t="s">
        <v>2594</v>
      </c>
      <c r="C2376" s="2" t="s">
        <v>461</v>
      </c>
      <c r="D2376" s="4">
        <v>1.9987600000000001</v>
      </c>
      <c r="E2376" s="4">
        <v>0.79934000000000005</v>
      </c>
      <c r="F2376" s="4">
        <v>3.1140000000000001E-2</v>
      </c>
    </row>
    <row r="2377" spans="1:6" x14ac:dyDescent="0.35">
      <c r="A2377" s="2" t="s">
        <v>2993</v>
      </c>
      <c r="B2377" s="6" t="s">
        <v>2594</v>
      </c>
      <c r="C2377" s="2" t="s">
        <v>461</v>
      </c>
      <c r="D2377" s="4">
        <v>1.9987600000000001</v>
      </c>
      <c r="E2377" s="4">
        <v>0.79934000000000005</v>
      </c>
      <c r="F2377" s="4">
        <v>3.1140000000000001E-2</v>
      </c>
    </row>
    <row r="2378" spans="1:6" x14ac:dyDescent="0.35">
      <c r="A2378" s="2" t="s">
        <v>2994</v>
      </c>
      <c r="B2378" s="6" t="s">
        <v>2594</v>
      </c>
      <c r="C2378" s="2" t="s">
        <v>461</v>
      </c>
      <c r="D2378" s="4">
        <v>1.9987600000000001</v>
      </c>
      <c r="E2378" s="4">
        <v>0.79934000000000005</v>
      </c>
      <c r="F2378" s="4">
        <v>3.1140000000000001E-2</v>
      </c>
    </row>
    <row r="2379" spans="1:6" x14ac:dyDescent="0.35">
      <c r="A2379" s="2" t="s">
        <v>2995</v>
      </c>
      <c r="B2379" s="6" t="s">
        <v>2594</v>
      </c>
      <c r="C2379" s="2" t="s">
        <v>461</v>
      </c>
      <c r="D2379" s="4">
        <v>1.9987600000000001</v>
      </c>
      <c r="E2379" s="4">
        <v>0.79934000000000005</v>
      </c>
      <c r="F2379" s="4">
        <v>3.1140000000000001E-2</v>
      </c>
    </row>
    <row r="2380" spans="1:6" x14ac:dyDescent="0.35">
      <c r="A2380" s="2" t="s">
        <v>2996</v>
      </c>
      <c r="B2380" s="6" t="s">
        <v>2594</v>
      </c>
      <c r="C2380" s="2" t="s">
        <v>461</v>
      </c>
      <c r="D2380" s="4">
        <v>1.9987600000000001</v>
      </c>
      <c r="E2380" s="4">
        <v>0.79934000000000005</v>
      </c>
      <c r="F2380" s="4">
        <v>3.1140000000000001E-2</v>
      </c>
    </row>
    <row r="2381" spans="1:6" x14ac:dyDescent="0.35">
      <c r="A2381" s="2" t="s">
        <v>2997</v>
      </c>
      <c r="B2381" s="6" t="s">
        <v>2594</v>
      </c>
      <c r="C2381" s="2" t="s">
        <v>461</v>
      </c>
      <c r="D2381" s="4">
        <v>2.0000499999999999</v>
      </c>
      <c r="E2381" s="4">
        <v>0.79915000000000003</v>
      </c>
      <c r="F2381" s="4">
        <v>3.2620000000000003E-2</v>
      </c>
    </row>
    <row r="2382" spans="1:6" x14ac:dyDescent="0.35">
      <c r="A2382" s="2" t="s">
        <v>2998</v>
      </c>
      <c r="B2382" s="6" t="s">
        <v>2594</v>
      </c>
      <c r="C2382" s="2" t="s">
        <v>461</v>
      </c>
      <c r="D2382" s="4">
        <v>1.9987600000000001</v>
      </c>
      <c r="E2382" s="4">
        <v>0.79934000000000005</v>
      </c>
      <c r="F2382" s="4">
        <v>3.1140000000000001E-2</v>
      </c>
    </row>
    <row r="2383" spans="1:6" x14ac:dyDescent="0.35">
      <c r="A2383" s="2" t="s">
        <v>2999</v>
      </c>
      <c r="B2383" s="6" t="s">
        <v>2594</v>
      </c>
      <c r="C2383" s="2" t="s">
        <v>461</v>
      </c>
      <c r="D2383" s="4">
        <v>1.9987600000000001</v>
      </c>
      <c r="E2383" s="4">
        <v>0.79934000000000005</v>
      </c>
      <c r="F2383" s="4">
        <v>3.1140000000000001E-2</v>
      </c>
    </row>
    <row r="2384" spans="1:6" x14ac:dyDescent="0.35">
      <c r="A2384" s="2" t="s">
        <v>3000</v>
      </c>
      <c r="B2384" s="6" t="s">
        <v>2594</v>
      </c>
      <c r="C2384" s="2" t="s">
        <v>461</v>
      </c>
      <c r="D2384" s="4">
        <v>2.1759599999999999</v>
      </c>
      <c r="E2384" s="4">
        <v>1.15473</v>
      </c>
      <c r="F2384" s="4">
        <v>3.0460000000000001E-2</v>
      </c>
    </row>
    <row r="2385" spans="1:6" x14ac:dyDescent="0.35">
      <c r="A2385" s="2" t="s">
        <v>3001</v>
      </c>
      <c r="B2385" s="6" t="s">
        <v>2594</v>
      </c>
      <c r="C2385" s="2" t="s">
        <v>461</v>
      </c>
      <c r="D2385" s="4">
        <v>2.1759599999999999</v>
      </c>
      <c r="E2385" s="4">
        <v>1.15473</v>
      </c>
      <c r="F2385" s="4">
        <v>3.0460000000000001E-2</v>
      </c>
    </row>
    <row r="2386" spans="1:6" x14ac:dyDescent="0.35">
      <c r="A2386" s="2" t="s">
        <v>3002</v>
      </c>
      <c r="B2386" s="6" t="s">
        <v>2594</v>
      </c>
      <c r="C2386" s="2" t="s">
        <v>461</v>
      </c>
      <c r="D2386" s="4">
        <v>2.1759599999999999</v>
      </c>
      <c r="E2386" s="4">
        <v>1.15473</v>
      </c>
      <c r="F2386" s="4">
        <v>3.0460000000000001E-2</v>
      </c>
    </row>
    <row r="2387" spans="1:6" x14ac:dyDescent="0.35">
      <c r="A2387" s="2" t="s">
        <v>3003</v>
      </c>
      <c r="B2387" s="6" t="s">
        <v>2594</v>
      </c>
      <c r="C2387" s="2" t="s">
        <v>461</v>
      </c>
      <c r="D2387" s="4">
        <v>2.1759599999999999</v>
      </c>
      <c r="E2387" s="4">
        <v>1.15473</v>
      </c>
      <c r="F2387" s="4">
        <v>3.0460000000000001E-2</v>
      </c>
    </row>
    <row r="2388" spans="1:6" x14ac:dyDescent="0.35">
      <c r="A2388" s="2" t="s">
        <v>3004</v>
      </c>
      <c r="B2388" s="6" t="s">
        <v>2594</v>
      </c>
      <c r="C2388" s="2" t="s">
        <v>461</v>
      </c>
      <c r="D2388" s="4">
        <v>2.1759599999999999</v>
      </c>
      <c r="E2388" s="4">
        <v>1.15473</v>
      </c>
      <c r="F2388" s="4">
        <v>3.0460000000000001E-2</v>
      </c>
    </row>
    <row r="2389" spans="1:6" x14ac:dyDescent="0.35">
      <c r="A2389" s="2" t="s">
        <v>3005</v>
      </c>
      <c r="B2389" s="6" t="s">
        <v>2594</v>
      </c>
      <c r="C2389" s="2" t="s">
        <v>461</v>
      </c>
      <c r="D2389" s="4">
        <v>1.9559899999999999</v>
      </c>
      <c r="E2389" s="4">
        <v>0.96926000000000001</v>
      </c>
      <c r="F2389" s="4">
        <v>2.4899999999999999E-2</v>
      </c>
    </row>
    <row r="2390" spans="1:6" x14ac:dyDescent="0.35">
      <c r="A2390" s="2" t="s">
        <v>3006</v>
      </c>
      <c r="B2390" s="6" t="s">
        <v>2594</v>
      </c>
      <c r="C2390" s="2" t="s">
        <v>461</v>
      </c>
      <c r="D2390" s="4">
        <v>1.9559899999999999</v>
      </c>
      <c r="E2390" s="4">
        <v>0.96926000000000001</v>
      </c>
      <c r="F2390" s="4">
        <v>2.4899999999999999E-2</v>
      </c>
    </row>
    <row r="2391" spans="1:6" x14ac:dyDescent="0.35">
      <c r="A2391" s="2" t="s">
        <v>3007</v>
      </c>
      <c r="B2391" s="6" t="s">
        <v>2594</v>
      </c>
      <c r="C2391" s="2" t="s">
        <v>461</v>
      </c>
      <c r="D2391" s="4">
        <v>1.9559899999999999</v>
      </c>
      <c r="E2391" s="4">
        <v>0.96926000000000001</v>
      </c>
      <c r="F2391" s="4">
        <v>2.4899999999999999E-2</v>
      </c>
    </row>
    <row r="2392" spans="1:6" x14ac:dyDescent="0.35">
      <c r="A2392" s="2" t="s">
        <v>3008</v>
      </c>
      <c r="B2392" s="6" t="s">
        <v>2594</v>
      </c>
      <c r="C2392" s="2" t="s">
        <v>461</v>
      </c>
      <c r="D2392" s="4">
        <v>2.2239499999999999</v>
      </c>
      <c r="E2392" s="4">
        <v>1.1605099999999999</v>
      </c>
      <c r="F2392" s="4">
        <v>4.1849999999999998E-2</v>
      </c>
    </row>
    <row r="2393" spans="1:6" x14ac:dyDescent="0.35">
      <c r="A2393" s="2" t="s">
        <v>3009</v>
      </c>
      <c r="B2393" s="6" t="s">
        <v>2594</v>
      </c>
      <c r="C2393" s="2" t="s">
        <v>461</v>
      </c>
      <c r="D2393" s="4">
        <v>2.2239499999999999</v>
      </c>
      <c r="E2393" s="4">
        <v>1.1605099999999999</v>
      </c>
      <c r="F2393" s="4">
        <v>4.1849999999999998E-2</v>
      </c>
    </row>
    <row r="2394" spans="1:6" x14ac:dyDescent="0.35">
      <c r="A2394" s="2" t="s">
        <v>3010</v>
      </c>
      <c r="B2394" s="6" t="s">
        <v>2594</v>
      </c>
      <c r="C2394" s="2" t="s">
        <v>461</v>
      </c>
      <c r="D2394" s="4">
        <v>2.2239499999999999</v>
      </c>
      <c r="E2394" s="4">
        <v>1.1605099999999999</v>
      </c>
      <c r="F2394" s="4">
        <v>4.1849999999999998E-2</v>
      </c>
    </row>
    <row r="2395" spans="1:6" x14ac:dyDescent="0.35">
      <c r="A2395" s="2" t="s">
        <v>3011</v>
      </c>
      <c r="B2395" s="6" t="s">
        <v>2594</v>
      </c>
      <c r="C2395" s="2" t="s">
        <v>461</v>
      </c>
      <c r="D2395" s="4">
        <v>2.2239499999999999</v>
      </c>
      <c r="E2395" s="4">
        <v>1.1605099999999999</v>
      </c>
      <c r="F2395" s="4">
        <v>4.1849999999999998E-2</v>
      </c>
    </row>
    <row r="2396" spans="1:6" x14ac:dyDescent="0.35">
      <c r="A2396" s="2" t="s">
        <v>3012</v>
      </c>
      <c r="B2396" s="6" t="s">
        <v>2594</v>
      </c>
      <c r="C2396" s="2" t="s">
        <v>461</v>
      </c>
      <c r="D2396" s="4">
        <v>2.2239499999999999</v>
      </c>
      <c r="E2396" s="4">
        <v>1.1605099999999999</v>
      </c>
      <c r="F2396" s="4">
        <v>4.1849999999999998E-2</v>
      </c>
    </row>
    <row r="2397" spans="1:6" x14ac:dyDescent="0.35">
      <c r="A2397" s="2" t="s">
        <v>3013</v>
      </c>
      <c r="B2397" s="6" t="s">
        <v>2594</v>
      </c>
      <c r="C2397" s="2" t="s">
        <v>461</v>
      </c>
      <c r="D2397" s="4">
        <v>2.2239499999999999</v>
      </c>
      <c r="E2397" s="4">
        <v>1.1605099999999999</v>
      </c>
      <c r="F2397" s="4">
        <v>4.1849999999999998E-2</v>
      </c>
    </row>
    <row r="2398" spans="1:6" x14ac:dyDescent="0.35">
      <c r="A2398" s="2" t="s">
        <v>3014</v>
      </c>
      <c r="B2398" s="6" t="s">
        <v>2594</v>
      </c>
      <c r="C2398" s="2" t="s">
        <v>461</v>
      </c>
      <c r="D2398" s="4">
        <v>2.2239499999999999</v>
      </c>
      <c r="E2398" s="4">
        <v>1.1605099999999999</v>
      </c>
      <c r="F2398" s="4">
        <v>4.1849999999999998E-2</v>
      </c>
    </row>
    <row r="2399" spans="1:6" x14ac:dyDescent="0.35">
      <c r="A2399" s="2" t="s">
        <v>3015</v>
      </c>
      <c r="B2399" s="6" t="s">
        <v>2594</v>
      </c>
      <c r="C2399" s="2" t="s">
        <v>461</v>
      </c>
      <c r="D2399" s="4">
        <v>2.33134</v>
      </c>
      <c r="E2399" s="4">
        <v>1.2743599999999999</v>
      </c>
      <c r="F2399" s="4">
        <v>3.236E-2</v>
      </c>
    </row>
    <row r="2400" spans="1:6" x14ac:dyDescent="0.35">
      <c r="A2400" s="2" t="s">
        <v>3016</v>
      </c>
      <c r="B2400" s="6" t="s">
        <v>2594</v>
      </c>
      <c r="C2400" s="2" t="s">
        <v>461</v>
      </c>
      <c r="D2400" s="4">
        <v>2.1973799999999999</v>
      </c>
      <c r="E2400" s="4">
        <v>1.21044</v>
      </c>
      <c r="F2400" s="4">
        <v>2.511E-2</v>
      </c>
    </row>
    <row r="2401" spans="1:6" x14ac:dyDescent="0.35">
      <c r="A2401" s="2" t="s">
        <v>3017</v>
      </c>
      <c r="B2401" s="6" t="s">
        <v>2594</v>
      </c>
      <c r="C2401" s="2" t="s">
        <v>461</v>
      </c>
      <c r="D2401" s="4">
        <v>2.1973799999999999</v>
      </c>
      <c r="E2401" s="4">
        <v>1.21044</v>
      </c>
      <c r="F2401" s="4">
        <v>2.511E-2</v>
      </c>
    </row>
    <row r="2402" spans="1:6" x14ac:dyDescent="0.35">
      <c r="A2402" s="2" t="s">
        <v>3018</v>
      </c>
      <c r="B2402" s="6" t="s">
        <v>2594</v>
      </c>
      <c r="C2402" s="2" t="s">
        <v>461</v>
      </c>
      <c r="D2402" s="4">
        <v>1.9987600000000001</v>
      </c>
      <c r="E2402" s="4">
        <v>0.79934000000000005</v>
      </c>
      <c r="F2402" s="4">
        <v>3.1140000000000001E-2</v>
      </c>
    </row>
    <row r="2403" spans="1:6" x14ac:dyDescent="0.35">
      <c r="A2403" s="2" t="s">
        <v>3019</v>
      </c>
      <c r="B2403" s="6" t="s">
        <v>2594</v>
      </c>
      <c r="C2403" s="2" t="s">
        <v>461</v>
      </c>
      <c r="D2403" s="4">
        <v>2.0467300000000002</v>
      </c>
      <c r="E2403" s="4">
        <v>0.82094999999999996</v>
      </c>
      <c r="F2403" s="4">
        <v>3.1989999999999998E-2</v>
      </c>
    </row>
    <row r="2404" spans="1:6" x14ac:dyDescent="0.35">
      <c r="A2404" s="2" t="s">
        <v>3020</v>
      </c>
      <c r="B2404" s="6" t="s">
        <v>2594</v>
      </c>
      <c r="C2404" s="2" t="s">
        <v>461</v>
      </c>
      <c r="D2404" s="4">
        <v>1.9987600000000001</v>
      </c>
      <c r="E2404" s="4">
        <v>0.79934000000000005</v>
      </c>
      <c r="F2404" s="4">
        <v>3.1140000000000001E-2</v>
      </c>
    </row>
    <row r="2405" spans="1:6" x14ac:dyDescent="0.35">
      <c r="A2405" s="2" t="s">
        <v>3021</v>
      </c>
      <c r="B2405" s="6" t="s">
        <v>2594</v>
      </c>
      <c r="C2405" s="2" t="s">
        <v>461</v>
      </c>
      <c r="D2405" s="4">
        <v>2.0467300000000002</v>
      </c>
      <c r="E2405" s="4">
        <v>0.82094999999999996</v>
      </c>
      <c r="F2405" s="4">
        <v>3.1989999999999998E-2</v>
      </c>
    </row>
    <row r="2406" spans="1:6" x14ac:dyDescent="0.35">
      <c r="A2406" s="2" t="s">
        <v>3022</v>
      </c>
      <c r="B2406" s="6" t="s">
        <v>2594</v>
      </c>
      <c r="C2406" s="2" t="s">
        <v>461</v>
      </c>
      <c r="D2406" s="4">
        <v>2.0467300000000002</v>
      </c>
      <c r="E2406" s="4">
        <v>0.82094999999999996</v>
      </c>
      <c r="F2406" s="4">
        <v>3.1989999999999998E-2</v>
      </c>
    </row>
    <row r="2407" spans="1:6" x14ac:dyDescent="0.35">
      <c r="A2407" s="2" t="s">
        <v>3023</v>
      </c>
      <c r="B2407" s="6" t="s">
        <v>2594</v>
      </c>
      <c r="C2407" s="2" t="s">
        <v>461</v>
      </c>
      <c r="D2407" s="4">
        <v>2.0276700000000001</v>
      </c>
      <c r="E2407" s="4">
        <v>0.81237000000000004</v>
      </c>
      <c r="F2407" s="4">
        <v>3.1649999999999998E-2</v>
      </c>
    </row>
    <row r="2408" spans="1:6" x14ac:dyDescent="0.35">
      <c r="A2408" s="2" t="s">
        <v>3024</v>
      </c>
      <c r="B2408" s="6" t="s">
        <v>2594</v>
      </c>
      <c r="C2408" s="2" t="s">
        <v>461</v>
      </c>
      <c r="D2408" s="4">
        <v>1.9987600000000001</v>
      </c>
      <c r="E2408" s="4">
        <v>0.79934000000000005</v>
      </c>
      <c r="F2408" s="4">
        <v>3.1140000000000001E-2</v>
      </c>
    </row>
    <row r="2409" spans="1:6" x14ac:dyDescent="0.35">
      <c r="A2409" s="2" t="s">
        <v>3025</v>
      </c>
      <c r="B2409" s="6" t="s">
        <v>2594</v>
      </c>
      <c r="C2409" s="2" t="s">
        <v>461</v>
      </c>
      <c r="D2409" s="4">
        <v>1.9987600000000001</v>
      </c>
      <c r="E2409" s="4">
        <v>0.79934000000000005</v>
      </c>
      <c r="F2409" s="4">
        <v>3.1140000000000001E-2</v>
      </c>
    </row>
    <row r="2410" spans="1:6" x14ac:dyDescent="0.35">
      <c r="A2410" s="2" t="s">
        <v>3026</v>
      </c>
      <c r="B2410" s="6" t="s">
        <v>2594</v>
      </c>
      <c r="C2410" s="2" t="s">
        <v>461</v>
      </c>
      <c r="D2410" s="4">
        <v>1.9987600000000001</v>
      </c>
      <c r="E2410" s="4">
        <v>0.79934000000000005</v>
      </c>
      <c r="F2410" s="4">
        <v>3.1140000000000001E-2</v>
      </c>
    </row>
    <row r="2411" spans="1:6" x14ac:dyDescent="0.35">
      <c r="A2411" s="2" t="s">
        <v>3027</v>
      </c>
      <c r="B2411" s="6" t="s">
        <v>2594</v>
      </c>
      <c r="C2411" s="2" t="s">
        <v>461</v>
      </c>
      <c r="D2411" s="4">
        <v>1.9987600000000001</v>
      </c>
      <c r="E2411" s="4">
        <v>0.79934000000000005</v>
      </c>
      <c r="F2411" s="4">
        <v>3.1140000000000001E-2</v>
      </c>
    </row>
    <row r="2412" spans="1:6" x14ac:dyDescent="0.35">
      <c r="A2412" s="2" t="s">
        <v>3028</v>
      </c>
      <c r="B2412" s="6" t="s">
        <v>2594</v>
      </c>
      <c r="C2412" s="2" t="s">
        <v>461</v>
      </c>
      <c r="D2412" s="4">
        <v>1.9987600000000001</v>
      </c>
      <c r="E2412" s="4">
        <v>0.79934000000000005</v>
      </c>
      <c r="F2412" s="4">
        <v>3.1140000000000001E-2</v>
      </c>
    </row>
    <row r="2413" spans="1:6" x14ac:dyDescent="0.35">
      <c r="A2413" s="2" t="s">
        <v>3029</v>
      </c>
      <c r="B2413" s="6" t="s">
        <v>2594</v>
      </c>
      <c r="C2413" s="2" t="s">
        <v>461</v>
      </c>
      <c r="D2413" s="4">
        <v>1.9987600000000001</v>
      </c>
      <c r="E2413" s="4">
        <v>0.79934000000000005</v>
      </c>
      <c r="F2413" s="4">
        <v>3.1140000000000001E-2</v>
      </c>
    </row>
    <row r="2414" spans="1:6" x14ac:dyDescent="0.35">
      <c r="A2414" s="2" t="s">
        <v>3030</v>
      </c>
      <c r="B2414" s="6" t="s">
        <v>2594</v>
      </c>
      <c r="C2414" s="2" t="s">
        <v>461</v>
      </c>
      <c r="D2414" s="4">
        <v>2.0480200000000002</v>
      </c>
      <c r="E2414" s="4">
        <v>0.82076000000000005</v>
      </c>
      <c r="F2414" s="4">
        <v>3.347E-2</v>
      </c>
    </row>
    <row r="2415" spans="1:6" x14ac:dyDescent="0.35">
      <c r="A2415" s="2" t="s">
        <v>3031</v>
      </c>
      <c r="B2415" s="6" t="s">
        <v>2594</v>
      </c>
      <c r="C2415" s="2" t="s">
        <v>461</v>
      </c>
      <c r="D2415" s="4">
        <v>2.0000499999999999</v>
      </c>
      <c r="E2415" s="4">
        <v>0.79915000000000003</v>
      </c>
      <c r="F2415" s="4">
        <v>3.2620000000000003E-2</v>
      </c>
    </row>
    <row r="2416" spans="1:6" x14ac:dyDescent="0.35">
      <c r="A2416" s="2" t="s">
        <v>3032</v>
      </c>
      <c r="B2416" s="6" t="s">
        <v>2594</v>
      </c>
      <c r="C2416" s="2" t="s">
        <v>461</v>
      </c>
      <c r="D2416" s="4">
        <v>1.9987600000000001</v>
      </c>
      <c r="E2416" s="4">
        <v>0.79934000000000005</v>
      </c>
      <c r="F2416" s="4">
        <v>3.1140000000000001E-2</v>
      </c>
    </row>
    <row r="2417" spans="1:6" x14ac:dyDescent="0.35">
      <c r="A2417" s="2" t="s">
        <v>3033</v>
      </c>
      <c r="B2417" s="6" t="s">
        <v>2594</v>
      </c>
      <c r="C2417" s="2" t="s">
        <v>461</v>
      </c>
      <c r="D2417" s="4">
        <v>1.9987600000000001</v>
      </c>
      <c r="E2417" s="4">
        <v>0.79934000000000005</v>
      </c>
      <c r="F2417" s="4">
        <v>3.1140000000000001E-2</v>
      </c>
    </row>
    <row r="2418" spans="1:6" x14ac:dyDescent="0.35">
      <c r="A2418" s="2" t="s">
        <v>3034</v>
      </c>
      <c r="B2418" s="6" t="s">
        <v>2594</v>
      </c>
      <c r="C2418" s="2" t="s">
        <v>461</v>
      </c>
      <c r="D2418" s="4">
        <v>1.9987600000000001</v>
      </c>
      <c r="E2418" s="4">
        <v>0.79934000000000005</v>
      </c>
      <c r="F2418" s="4">
        <v>3.1140000000000001E-2</v>
      </c>
    </row>
    <row r="2419" spans="1:6" x14ac:dyDescent="0.35">
      <c r="A2419" s="2" t="s">
        <v>3035</v>
      </c>
      <c r="B2419" s="6" t="s">
        <v>2594</v>
      </c>
      <c r="C2419" s="2" t="s">
        <v>461</v>
      </c>
      <c r="D2419" s="4">
        <v>2.0450499999999998</v>
      </c>
      <c r="E2419" s="4">
        <v>0.81935000000000002</v>
      </c>
      <c r="F2419" s="4">
        <v>3.1910000000000001E-2</v>
      </c>
    </row>
    <row r="2420" spans="1:6" x14ac:dyDescent="0.35">
      <c r="A2420" s="2" t="s">
        <v>3036</v>
      </c>
      <c r="B2420" s="6" t="s">
        <v>2594</v>
      </c>
      <c r="C2420" s="2" t="s">
        <v>461</v>
      </c>
      <c r="D2420" s="4">
        <v>2.0467300000000002</v>
      </c>
      <c r="E2420" s="4">
        <v>0.82094999999999996</v>
      </c>
      <c r="F2420" s="4">
        <v>3.1989999999999998E-2</v>
      </c>
    </row>
    <row r="2421" spans="1:6" x14ac:dyDescent="0.35">
      <c r="A2421" s="2" t="s">
        <v>3037</v>
      </c>
      <c r="B2421" s="6" t="s">
        <v>2594</v>
      </c>
      <c r="C2421" s="2" t="s">
        <v>461</v>
      </c>
      <c r="D2421" s="4">
        <v>2.0467300000000002</v>
      </c>
      <c r="E2421" s="4">
        <v>0.82094999999999996</v>
      </c>
      <c r="F2421" s="4">
        <v>3.1989999999999998E-2</v>
      </c>
    </row>
    <row r="2422" spans="1:6" x14ac:dyDescent="0.35">
      <c r="A2422" s="2" t="s">
        <v>3038</v>
      </c>
      <c r="B2422" s="6" t="s">
        <v>2594</v>
      </c>
      <c r="C2422" s="2" t="s">
        <v>461</v>
      </c>
      <c r="D2422" s="4">
        <v>1.99875</v>
      </c>
      <c r="E2422" s="4">
        <v>0.79934000000000005</v>
      </c>
      <c r="F2422" s="4">
        <v>3.1140000000000001E-2</v>
      </c>
    </row>
    <row r="2423" spans="1:6" x14ac:dyDescent="0.35">
      <c r="A2423" s="2" t="s">
        <v>3039</v>
      </c>
      <c r="B2423" s="6" t="s">
        <v>2594</v>
      </c>
      <c r="C2423" s="2" t="s">
        <v>461</v>
      </c>
      <c r="D2423" s="4">
        <v>2.0467300000000002</v>
      </c>
      <c r="E2423" s="4">
        <v>0.82094999999999996</v>
      </c>
      <c r="F2423" s="4">
        <v>3.1989999999999998E-2</v>
      </c>
    </row>
    <row r="2424" spans="1:6" x14ac:dyDescent="0.35">
      <c r="A2424" s="2" t="s">
        <v>3040</v>
      </c>
      <c r="B2424" s="6" t="s">
        <v>2594</v>
      </c>
      <c r="C2424" s="2" t="s">
        <v>461</v>
      </c>
      <c r="D2424" s="4">
        <v>2.0467300000000002</v>
      </c>
      <c r="E2424" s="4">
        <v>0.82094999999999996</v>
      </c>
      <c r="F2424" s="4">
        <v>3.1989999999999998E-2</v>
      </c>
    </row>
    <row r="2425" spans="1:6" x14ac:dyDescent="0.35">
      <c r="A2425" s="2" t="s">
        <v>3041</v>
      </c>
      <c r="B2425" s="6" t="s">
        <v>2594</v>
      </c>
      <c r="C2425" s="2" t="s">
        <v>461</v>
      </c>
      <c r="D2425" s="4">
        <v>2.2905099999999998</v>
      </c>
      <c r="E2425" s="4">
        <v>1.2312700000000001</v>
      </c>
      <c r="F2425" s="4">
        <v>3.363E-2</v>
      </c>
    </row>
    <row r="2426" spans="1:6" x14ac:dyDescent="0.35">
      <c r="A2426" s="2" t="s">
        <v>3042</v>
      </c>
      <c r="B2426" s="6" t="s">
        <v>2594</v>
      </c>
      <c r="C2426" s="2" t="s">
        <v>461</v>
      </c>
      <c r="D2426" s="4">
        <v>2.2957399999999999</v>
      </c>
      <c r="E2426" s="4">
        <v>1.2363299999999999</v>
      </c>
      <c r="F2426" s="4">
        <v>3.3799999999999997E-2</v>
      </c>
    </row>
    <row r="2427" spans="1:6" x14ac:dyDescent="0.35">
      <c r="A2427" s="2" t="s">
        <v>3043</v>
      </c>
      <c r="B2427" s="6" t="s">
        <v>2594</v>
      </c>
      <c r="C2427" s="2" t="s">
        <v>461</v>
      </c>
      <c r="D2427" s="4">
        <v>2.3372899999999999</v>
      </c>
      <c r="E2427" s="4">
        <v>1.2802100000000001</v>
      </c>
      <c r="F2427" s="4">
        <v>3.2460000000000003E-2</v>
      </c>
    </row>
    <row r="2428" spans="1:6" x14ac:dyDescent="0.35">
      <c r="A2428" s="2" t="s">
        <v>3044</v>
      </c>
      <c r="B2428" s="6" t="s">
        <v>2594</v>
      </c>
      <c r="C2428" s="2" t="s">
        <v>461</v>
      </c>
      <c r="D2428" s="4">
        <v>2.4314499999999999</v>
      </c>
      <c r="E2428" s="4">
        <v>1.34284</v>
      </c>
      <c r="F2428" s="4">
        <v>3.3709999999999997E-2</v>
      </c>
    </row>
    <row r="2429" spans="1:6" x14ac:dyDescent="0.35">
      <c r="A2429" s="2" t="s">
        <v>3045</v>
      </c>
      <c r="B2429" s="6" t="s">
        <v>2594</v>
      </c>
      <c r="C2429" s="2" t="s">
        <v>461</v>
      </c>
      <c r="D2429" s="4">
        <v>2.4314499999999999</v>
      </c>
      <c r="E2429" s="4">
        <v>1.34284</v>
      </c>
      <c r="F2429" s="4">
        <v>3.3709999999999997E-2</v>
      </c>
    </row>
    <row r="2430" spans="1:6" x14ac:dyDescent="0.35">
      <c r="A2430" s="2" t="s">
        <v>3046</v>
      </c>
      <c r="B2430" s="6" t="s">
        <v>2594</v>
      </c>
      <c r="C2430" s="2" t="s">
        <v>461</v>
      </c>
      <c r="D2430" s="4">
        <v>2.3504399999999999</v>
      </c>
      <c r="E2430" s="4">
        <v>1.2933600000000001</v>
      </c>
      <c r="F2430" s="4">
        <v>3.2460000000000003E-2</v>
      </c>
    </row>
    <row r="2431" spans="1:6" x14ac:dyDescent="0.35">
      <c r="A2431" s="2" t="s">
        <v>3047</v>
      </c>
      <c r="B2431" s="6" t="s">
        <v>2594</v>
      </c>
      <c r="C2431" s="2" t="s">
        <v>461</v>
      </c>
      <c r="D2431" s="4">
        <v>2.4314499999999999</v>
      </c>
      <c r="E2431" s="4">
        <v>1.34284</v>
      </c>
      <c r="F2431" s="4">
        <v>3.3709999999999997E-2</v>
      </c>
    </row>
    <row r="2432" spans="1:6" x14ac:dyDescent="0.35">
      <c r="A2432" s="2" t="s">
        <v>3048</v>
      </c>
      <c r="B2432" s="6" t="s">
        <v>2594</v>
      </c>
      <c r="C2432" s="2" t="s">
        <v>461</v>
      </c>
      <c r="D2432" s="4">
        <v>2.3504399999999999</v>
      </c>
      <c r="E2432" s="4">
        <v>1.2933600000000001</v>
      </c>
      <c r="F2432" s="4">
        <v>3.2460000000000003E-2</v>
      </c>
    </row>
    <row r="2433" spans="1:6" x14ac:dyDescent="0.35">
      <c r="A2433" s="2" t="s">
        <v>3049</v>
      </c>
      <c r="B2433" s="6" t="s">
        <v>2594</v>
      </c>
      <c r="C2433" s="2" t="s">
        <v>461</v>
      </c>
      <c r="D2433" s="4">
        <v>2.1759599999999999</v>
      </c>
      <c r="E2433" s="4">
        <v>1.15473</v>
      </c>
      <c r="F2433" s="4">
        <v>3.0460000000000001E-2</v>
      </c>
    </row>
    <row r="2434" spans="1:6" x14ac:dyDescent="0.35">
      <c r="A2434" s="2" t="s">
        <v>3050</v>
      </c>
      <c r="B2434" s="6" t="s">
        <v>2594</v>
      </c>
      <c r="C2434" s="2" t="s">
        <v>461</v>
      </c>
      <c r="D2434" s="4">
        <v>2.4164699999999999</v>
      </c>
      <c r="E2434" s="4">
        <v>1.3263799999999999</v>
      </c>
      <c r="F2434" s="4">
        <v>3.5189999999999999E-2</v>
      </c>
    </row>
    <row r="2435" spans="1:6" x14ac:dyDescent="0.35">
      <c r="A2435" s="2" t="s">
        <v>3051</v>
      </c>
      <c r="B2435" s="6" t="e">
        <v>#N/A</v>
      </c>
      <c r="C2435" s="2" t="e">
        <v>#N/A</v>
      </c>
      <c r="D2435" s="4">
        <v>2.4164699999999999</v>
      </c>
      <c r="E2435" s="4">
        <v>1.3263799999999999</v>
      </c>
      <c r="F2435" s="4">
        <v>3.5189999999999999E-2</v>
      </c>
    </row>
    <row r="2436" spans="1:6" x14ac:dyDescent="0.35">
      <c r="A2436" s="2" t="s">
        <v>3052</v>
      </c>
      <c r="B2436" s="6" t="e">
        <v>#N/A</v>
      </c>
      <c r="C2436" s="2" t="e">
        <v>#N/A</v>
      </c>
      <c r="D2436" s="4">
        <v>2.5385900000000001</v>
      </c>
      <c r="E2436" s="4">
        <v>1.4484999999999999</v>
      </c>
      <c r="F2436" s="4">
        <v>3.4500000000000003E-2</v>
      </c>
    </row>
    <row r="2437" spans="1:6" x14ac:dyDescent="0.35">
      <c r="A2437" s="2" t="s">
        <v>3053</v>
      </c>
      <c r="B2437" s="6" t="e">
        <v>#N/A</v>
      </c>
      <c r="C2437" s="2" t="e">
        <v>#N/A</v>
      </c>
      <c r="D2437" s="4">
        <v>2.5373000000000001</v>
      </c>
      <c r="E2437" s="4">
        <v>1.44869</v>
      </c>
      <c r="F2437" s="4">
        <v>3.3020000000000001E-2</v>
      </c>
    </row>
    <row r="2438" spans="1:6" x14ac:dyDescent="0.35">
      <c r="A2438" s="2" t="s">
        <v>3054</v>
      </c>
      <c r="B2438" s="6" t="s">
        <v>2594</v>
      </c>
      <c r="C2438" s="2" t="s">
        <v>461</v>
      </c>
      <c r="D2438" s="4">
        <v>2.4151799999999999</v>
      </c>
      <c r="E2438" s="4">
        <v>1.32657</v>
      </c>
      <c r="F2438" s="4">
        <v>3.3709999999999997E-2</v>
      </c>
    </row>
    <row r="2439" spans="1:6" x14ac:dyDescent="0.35">
      <c r="A2439" s="2" t="s">
        <v>3055</v>
      </c>
      <c r="B2439" s="6" t="e">
        <v>#N/A</v>
      </c>
      <c r="C2439" s="2" t="e">
        <v>#N/A</v>
      </c>
      <c r="D2439" s="4">
        <v>2.4151799999999999</v>
      </c>
      <c r="E2439" s="4">
        <v>1.32657</v>
      </c>
      <c r="F2439" s="4">
        <v>3.3709999999999997E-2</v>
      </c>
    </row>
    <row r="2440" spans="1:6" x14ac:dyDescent="0.35">
      <c r="A2440" s="2" t="s">
        <v>3056</v>
      </c>
      <c r="B2440" s="6" t="s">
        <v>2594</v>
      </c>
      <c r="C2440" s="2" t="s">
        <v>461</v>
      </c>
      <c r="D2440" s="4">
        <v>2.4164699999999999</v>
      </c>
      <c r="E2440" s="4">
        <v>1.3263799999999999</v>
      </c>
      <c r="F2440" s="4">
        <v>3.5189999999999999E-2</v>
      </c>
    </row>
    <row r="2441" spans="1:6" x14ac:dyDescent="0.35">
      <c r="A2441" s="2" t="s">
        <v>3057</v>
      </c>
      <c r="B2441" s="6" t="s">
        <v>2594</v>
      </c>
      <c r="C2441" s="2" t="s">
        <v>461</v>
      </c>
      <c r="D2441" s="4">
        <v>2.3504399999999999</v>
      </c>
      <c r="E2441" s="4">
        <v>1.2933600000000001</v>
      </c>
      <c r="F2441" s="4">
        <v>3.2460000000000003E-2</v>
      </c>
    </row>
    <row r="2442" spans="1:6" x14ac:dyDescent="0.35">
      <c r="A2442" s="2" t="s">
        <v>3058</v>
      </c>
      <c r="B2442" s="6" t="s">
        <v>2594</v>
      </c>
      <c r="C2442" s="2" t="s">
        <v>461</v>
      </c>
      <c r="D2442" s="4">
        <v>2.3517299999999999</v>
      </c>
      <c r="E2442" s="4">
        <v>1.2931699999999999</v>
      </c>
      <c r="F2442" s="4">
        <v>3.3939999999999998E-2</v>
      </c>
    </row>
    <row r="2443" spans="1:6" x14ac:dyDescent="0.35">
      <c r="A2443" s="2" t="s">
        <v>3059</v>
      </c>
      <c r="B2443" s="6" t="s">
        <v>2594</v>
      </c>
      <c r="C2443" s="2" t="s">
        <v>461</v>
      </c>
      <c r="D2443" s="4">
        <v>2.2662499999999999</v>
      </c>
      <c r="E2443" s="4">
        <v>1.20547</v>
      </c>
      <c r="F2443" s="4">
        <v>3.1980000000000001E-2</v>
      </c>
    </row>
    <row r="2444" spans="1:6" x14ac:dyDescent="0.35">
      <c r="A2444" s="2" t="s">
        <v>3060</v>
      </c>
      <c r="B2444" s="6" t="s">
        <v>2594</v>
      </c>
      <c r="C2444" s="2" t="s">
        <v>461</v>
      </c>
      <c r="D2444" s="4">
        <v>2.4321100000000002</v>
      </c>
      <c r="E2444" s="4">
        <v>1.3392500000000001</v>
      </c>
      <c r="F2444" s="4">
        <v>3.7960000000000001E-2</v>
      </c>
    </row>
    <row r="2445" spans="1:6" x14ac:dyDescent="0.35">
      <c r="A2445" s="2" t="s">
        <v>3061</v>
      </c>
      <c r="B2445" s="6" t="s">
        <v>2594</v>
      </c>
      <c r="C2445" s="2" t="s">
        <v>461</v>
      </c>
      <c r="D2445" s="4">
        <v>2.1759599999999999</v>
      </c>
      <c r="E2445" s="4">
        <v>1.15473</v>
      </c>
      <c r="F2445" s="4">
        <v>3.0460000000000001E-2</v>
      </c>
    </row>
    <row r="2446" spans="1:6" x14ac:dyDescent="0.35">
      <c r="A2446" s="2" t="s">
        <v>3062</v>
      </c>
      <c r="B2446" s="6" t="s">
        <v>2594</v>
      </c>
      <c r="C2446" s="2" t="s">
        <v>461</v>
      </c>
      <c r="D2446" s="4">
        <v>2.3517299999999999</v>
      </c>
      <c r="E2446" s="4">
        <v>1.2931699999999999</v>
      </c>
      <c r="F2446" s="4">
        <v>3.3939999999999998E-2</v>
      </c>
    </row>
    <row r="2447" spans="1:6" x14ac:dyDescent="0.35">
      <c r="A2447" s="2" t="s">
        <v>3063</v>
      </c>
      <c r="B2447" s="6" t="s">
        <v>2594</v>
      </c>
      <c r="C2447" s="2" t="s">
        <v>461</v>
      </c>
      <c r="D2447" s="4">
        <v>2.1759599999999999</v>
      </c>
      <c r="E2447" s="4">
        <v>1.15473</v>
      </c>
      <c r="F2447" s="4">
        <v>3.0460000000000001E-2</v>
      </c>
    </row>
    <row r="2448" spans="1:6" x14ac:dyDescent="0.35">
      <c r="A2448" s="2" t="s">
        <v>3064</v>
      </c>
      <c r="B2448" s="6" t="s">
        <v>2594</v>
      </c>
      <c r="C2448" s="2" t="s">
        <v>461</v>
      </c>
      <c r="D2448" s="4">
        <v>2.1759599999999999</v>
      </c>
      <c r="E2448" s="4">
        <v>1.15473</v>
      </c>
      <c r="F2448" s="4">
        <v>3.0460000000000001E-2</v>
      </c>
    </row>
    <row r="2449" spans="1:6" x14ac:dyDescent="0.35">
      <c r="A2449" s="2" t="s">
        <v>3065</v>
      </c>
      <c r="B2449" s="6" t="s">
        <v>2594</v>
      </c>
      <c r="C2449" s="2" t="s">
        <v>461</v>
      </c>
      <c r="D2449" s="4">
        <v>2.1759599999999999</v>
      </c>
      <c r="E2449" s="4">
        <v>1.15473</v>
      </c>
      <c r="F2449" s="4">
        <v>3.0460000000000001E-2</v>
      </c>
    </row>
    <row r="2450" spans="1:6" x14ac:dyDescent="0.35">
      <c r="A2450" s="2" t="s">
        <v>3066</v>
      </c>
      <c r="B2450" s="6" t="s">
        <v>2594</v>
      </c>
      <c r="C2450" s="2" t="s">
        <v>461</v>
      </c>
      <c r="D2450" s="4">
        <v>1.9559899999999999</v>
      </c>
      <c r="E2450" s="4">
        <v>0.96926000000000001</v>
      </c>
      <c r="F2450" s="4">
        <v>2.4899999999999999E-2</v>
      </c>
    </row>
    <row r="2451" spans="1:6" x14ac:dyDescent="0.35">
      <c r="A2451" s="2" t="s">
        <v>3067</v>
      </c>
      <c r="B2451" s="6" t="s">
        <v>2594</v>
      </c>
      <c r="C2451" s="2" t="s">
        <v>461</v>
      </c>
      <c r="D2451" s="4">
        <v>1.9559899999999999</v>
      </c>
      <c r="E2451" s="4">
        <v>0.96926000000000001</v>
      </c>
      <c r="F2451" s="4">
        <v>2.4899999999999999E-2</v>
      </c>
    </row>
    <row r="2452" spans="1:6" x14ac:dyDescent="0.35">
      <c r="A2452" s="2" t="s">
        <v>3068</v>
      </c>
      <c r="B2452" s="6" t="s">
        <v>2594</v>
      </c>
      <c r="C2452" s="2" t="s">
        <v>461</v>
      </c>
      <c r="D2452" s="4">
        <v>2.2396099999999999</v>
      </c>
      <c r="E2452" s="4">
        <v>1.1761699999999999</v>
      </c>
      <c r="F2452" s="4">
        <v>4.1849999999999998E-2</v>
      </c>
    </row>
    <row r="2453" spans="1:6" x14ac:dyDescent="0.35">
      <c r="A2453" s="2" t="s">
        <v>3069</v>
      </c>
      <c r="B2453" s="6" t="s">
        <v>2594</v>
      </c>
      <c r="C2453" s="2" t="s">
        <v>461</v>
      </c>
      <c r="D2453" s="4">
        <v>2.2396099999999999</v>
      </c>
      <c r="E2453" s="4">
        <v>1.1761699999999999</v>
      </c>
      <c r="F2453" s="4">
        <v>4.1849999999999998E-2</v>
      </c>
    </row>
    <row r="2454" spans="1:6" x14ac:dyDescent="0.35">
      <c r="A2454" s="2" t="s">
        <v>3070</v>
      </c>
      <c r="B2454" s="6" t="s">
        <v>2594</v>
      </c>
      <c r="C2454" s="2" t="s">
        <v>461</v>
      </c>
      <c r="D2454" s="4">
        <v>2.3517199999999998</v>
      </c>
      <c r="E2454" s="4">
        <v>1.29</v>
      </c>
      <c r="F2454" s="4">
        <v>3.3000000000000002E-2</v>
      </c>
    </row>
    <row r="2455" spans="1:6" x14ac:dyDescent="0.35">
      <c r="A2455" s="2" t="s">
        <v>3071</v>
      </c>
      <c r="B2455" s="6" t="s">
        <v>2594</v>
      </c>
      <c r="C2455" s="2" t="s">
        <v>461</v>
      </c>
      <c r="D2455" s="4">
        <v>2.3517199999999998</v>
      </c>
      <c r="E2455" s="4">
        <v>1.29</v>
      </c>
      <c r="F2455" s="4">
        <v>3.3000000000000002E-2</v>
      </c>
    </row>
    <row r="2456" spans="1:6" x14ac:dyDescent="0.35">
      <c r="A2456" s="2" t="s">
        <v>3072</v>
      </c>
      <c r="B2456" s="6" t="s">
        <v>2594</v>
      </c>
      <c r="C2456" s="2" t="s">
        <v>461</v>
      </c>
      <c r="D2456" s="4">
        <v>2.5255100000000001</v>
      </c>
      <c r="E2456" s="4">
        <v>1.3957999999999999</v>
      </c>
      <c r="F2456" s="4">
        <v>3.5720000000000002E-2</v>
      </c>
    </row>
    <row r="2457" spans="1:6" x14ac:dyDescent="0.35">
      <c r="A2457" s="2" t="s">
        <v>3073</v>
      </c>
      <c r="B2457" s="6" t="s">
        <v>2594</v>
      </c>
      <c r="C2457" s="2" t="s">
        <v>461</v>
      </c>
      <c r="D2457" s="4">
        <v>2.3152400000000002</v>
      </c>
      <c r="E2457" s="4">
        <v>1.2204699999999999</v>
      </c>
      <c r="F2457" s="4">
        <v>4.3439999999999999E-2</v>
      </c>
    </row>
    <row r="2458" spans="1:6" x14ac:dyDescent="0.35">
      <c r="A2458" s="2" t="s">
        <v>3074</v>
      </c>
      <c r="B2458" s="6" t="s">
        <v>2594</v>
      </c>
      <c r="C2458" s="2" t="s">
        <v>461</v>
      </c>
      <c r="D2458" s="4">
        <v>2.2408999999999999</v>
      </c>
      <c r="E2458" s="4">
        <v>1.17598</v>
      </c>
      <c r="F2458" s="4">
        <v>4.333E-2</v>
      </c>
    </row>
    <row r="2459" spans="1:6" x14ac:dyDescent="0.35">
      <c r="A2459" s="2" t="s">
        <v>3075</v>
      </c>
      <c r="B2459" s="6" t="s">
        <v>2594</v>
      </c>
      <c r="C2459" s="2" t="s">
        <v>461</v>
      </c>
      <c r="D2459" s="4">
        <v>2.3530099999999998</v>
      </c>
      <c r="E2459" s="4">
        <v>1.2898099999999999</v>
      </c>
      <c r="F2459" s="4">
        <v>3.4479999999999997E-2</v>
      </c>
    </row>
    <row r="2460" spans="1:6" x14ac:dyDescent="0.35">
      <c r="A2460" s="2" t="s">
        <v>3076</v>
      </c>
      <c r="B2460" s="6" t="s">
        <v>2594</v>
      </c>
      <c r="C2460" s="2" t="s">
        <v>461</v>
      </c>
      <c r="D2460" s="4">
        <v>2.6424400000000001</v>
      </c>
      <c r="E2460" s="4">
        <v>1.5202500000000001</v>
      </c>
      <c r="F2460" s="4">
        <v>3.6119999999999999E-2</v>
      </c>
    </row>
    <row r="2461" spans="1:6" x14ac:dyDescent="0.35">
      <c r="A2461" s="2" t="s">
        <v>3077</v>
      </c>
      <c r="B2461" s="6" t="s">
        <v>2594</v>
      </c>
      <c r="C2461" s="2" t="s">
        <v>461</v>
      </c>
      <c r="D2461" s="4">
        <v>2.51729</v>
      </c>
      <c r="E2461" s="4">
        <v>1.3832899999999999</v>
      </c>
      <c r="F2461" s="4">
        <v>4.0009999999999997E-2</v>
      </c>
    </row>
    <row r="2462" spans="1:6" x14ac:dyDescent="0.35">
      <c r="A2462" s="2" t="s">
        <v>3078</v>
      </c>
      <c r="B2462" s="6" t="e">
        <v>#N/A</v>
      </c>
      <c r="C2462" s="2" t="e">
        <v>#N/A</v>
      </c>
      <c r="D2462" s="4">
        <v>2.6424500000000002</v>
      </c>
      <c r="E2462" s="4">
        <v>1.5202599999999999</v>
      </c>
      <c r="F2462" s="4">
        <v>3.6119999999999999E-2</v>
      </c>
    </row>
    <row r="2463" spans="1:6" x14ac:dyDescent="0.35">
      <c r="A2463" s="2" t="s">
        <v>3079</v>
      </c>
      <c r="B2463" s="6" t="e">
        <v>#N/A</v>
      </c>
      <c r="C2463" s="2" t="e">
        <v>#N/A</v>
      </c>
      <c r="D2463" s="4">
        <v>2.6424400000000001</v>
      </c>
      <c r="E2463" s="4">
        <v>1.5202500000000001</v>
      </c>
      <c r="F2463" s="4">
        <v>3.6119999999999999E-2</v>
      </c>
    </row>
    <row r="2464" spans="1:6" x14ac:dyDescent="0.35">
      <c r="A2464" s="2" t="s">
        <v>3080</v>
      </c>
      <c r="B2464" s="6" t="s">
        <v>2594</v>
      </c>
      <c r="C2464" s="2" t="s">
        <v>461</v>
      </c>
      <c r="D2464" s="4">
        <v>2.5255100000000001</v>
      </c>
      <c r="E2464" s="4">
        <v>1.3957999999999999</v>
      </c>
      <c r="F2464" s="4">
        <v>3.5720000000000002E-2</v>
      </c>
    </row>
    <row r="2465" spans="1:6" x14ac:dyDescent="0.35">
      <c r="A2465" s="2" t="s">
        <v>3081</v>
      </c>
      <c r="B2465" s="6" t="s">
        <v>2594</v>
      </c>
      <c r="C2465" s="2" t="s">
        <v>461</v>
      </c>
      <c r="D2465" s="4">
        <v>2.4860099999999998</v>
      </c>
      <c r="E2465" s="4">
        <v>1.3205100000000001</v>
      </c>
      <c r="F2465" s="4">
        <v>4.7019999999999999E-2</v>
      </c>
    </row>
    <row r="2466" spans="1:6" x14ac:dyDescent="0.35">
      <c r="A2466" s="2" t="s">
        <v>3082</v>
      </c>
      <c r="B2466" s="6" t="s">
        <v>2594</v>
      </c>
      <c r="C2466" s="2" t="s">
        <v>461</v>
      </c>
      <c r="D2466" s="4">
        <v>2.6411500000000001</v>
      </c>
      <c r="E2466" s="4">
        <v>1.52044</v>
      </c>
      <c r="F2466" s="4">
        <v>3.4639999999999997E-2</v>
      </c>
    </row>
    <row r="2467" spans="1:6" x14ac:dyDescent="0.35">
      <c r="A2467" s="2" t="s">
        <v>3083</v>
      </c>
      <c r="B2467" s="6" t="e">
        <v>#N/A</v>
      </c>
      <c r="C2467" s="2" t="e">
        <v>#N/A</v>
      </c>
      <c r="D2467" s="4">
        <v>3.0603600000000002</v>
      </c>
      <c r="E2467" s="4">
        <v>1.7392000000000001</v>
      </c>
      <c r="F2467" s="4">
        <v>4.3819999999999998E-2</v>
      </c>
    </row>
    <row r="2468" spans="1:6" x14ac:dyDescent="0.35">
      <c r="A2468" s="2" t="s">
        <v>3084</v>
      </c>
      <c r="B2468" s="6" t="s">
        <v>2594</v>
      </c>
      <c r="C2468" s="2" t="s">
        <v>461</v>
      </c>
      <c r="D2468" s="4">
        <v>2.5166300000000001</v>
      </c>
      <c r="E2468" s="4">
        <v>1.3868799999999999</v>
      </c>
      <c r="F2468" s="4">
        <v>3.576E-2</v>
      </c>
    </row>
    <row r="2469" spans="1:6" x14ac:dyDescent="0.35">
      <c r="A2469" s="2" t="s">
        <v>3085</v>
      </c>
      <c r="B2469" s="6" t="e">
        <v>#N/A</v>
      </c>
      <c r="C2469" s="2" t="e">
        <v>#N/A</v>
      </c>
      <c r="D2469" s="4">
        <v>2.6411500000000001</v>
      </c>
      <c r="E2469" s="4">
        <v>1.52044</v>
      </c>
      <c r="F2469" s="4">
        <v>3.4639999999999997E-2</v>
      </c>
    </row>
    <row r="2470" spans="1:6" x14ac:dyDescent="0.35">
      <c r="A2470" s="2" t="s">
        <v>3086</v>
      </c>
      <c r="B2470" s="6" t="s">
        <v>2594</v>
      </c>
      <c r="C2470" s="2" t="s">
        <v>461</v>
      </c>
      <c r="D2470" s="4">
        <v>3.15164</v>
      </c>
      <c r="E2470" s="4">
        <v>1.8428500000000001</v>
      </c>
      <c r="F2470" s="4">
        <v>4.2000000000000003E-2</v>
      </c>
    </row>
    <row r="2471" spans="1:6" x14ac:dyDescent="0.35">
      <c r="A2471" s="2" t="s">
        <v>3087</v>
      </c>
      <c r="B2471" s="6" t="e">
        <v>#N/A</v>
      </c>
      <c r="C2471" s="2" t="e">
        <v>#N/A</v>
      </c>
      <c r="D2471" s="4">
        <v>3.0603600000000002</v>
      </c>
      <c r="E2471" s="4">
        <v>1.7392000000000001</v>
      </c>
      <c r="F2471" s="4">
        <v>4.3819999999999998E-2</v>
      </c>
    </row>
    <row r="2472" spans="1:6" x14ac:dyDescent="0.35">
      <c r="A2472" s="2" t="s">
        <v>3088</v>
      </c>
      <c r="B2472" s="6" t="s">
        <v>2594</v>
      </c>
      <c r="C2472" s="2" t="s">
        <v>461</v>
      </c>
      <c r="D2472" s="4">
        <v>2.2681300000000002</v>
      </c>
      <c r="E2472" s="4">
        <v>1.2350099999999999</v>
      </c>
      <c r="F2472" s="4">
        <v>3.3309999999999999E-2</v>
      </c>
    </row>
    <row r="2473" spans="1:6" x14ac:dyDescent="0.35">
      <c r="A2473" s="2" t="s">
        <v>3089</v>
      </c>
      <c r="B2473" s="6" t="s">
        <v>2594</v>
      </c>
      <c r="C2473" s="2" t="s">
        <v>461</v>
      </c>
      <c r="D2473" s="4">
        <v>2.2668400000000002</v>
      </c>
      <c r="E2473" s="4">
        <v>1.2352000000000001</v>
      </c>
      <c r="F2473" s="4">
        <v>3.1829999999999997E-2</v>
      </c>
    </row>
    <row r="2474" spans="1:6" x14ac:dyDescent="0.35">
      <c r="A2474" s="2" t="s">
        <v>3090</v>
      </c>
      <c r="B2474" s="6" t="s">
        <v>2594</v>
      </c>
      <c r="C2474" s="2" t="s">
        <v>461</v>
      </c>
      <c r="D2474" s="4">
        <v>2.0488300000000002</v>
      </c>
      <c r="E2474" s="4">
        <v>0.89566999999999997</v>
      </c>
      <c r="F2474" s="4">
        <v>3.2460000000000003E-2</v>
      </c>
    </row>
    <row r="2475" spans="1:6" x14ac:dyDescent="0.35">
      <c r="A2475" s="2" t="s">
        <v>3091</v>
      </c>
      <c r="B2475" s="6" t="s">
        <v>2594</v>
      </c>
      <c r="C2475" s="2" t="s">
        <v>461</v>
      </c>
      <c r="D2475" s="4">
        <v>2.0421900000000002</v>
      </c>
      <c r="E2475" s="4">
        <v>0.88902999999999999</v>
      </c>
      <c r="F2475" s="4">
        <v>3.2460000000000003E-2</v>
      </c>
    </row>
    <row r="2476" spans="1:6" x14ac:dyDescent="0.35">
      <c r="A2476" s="2" t="s">
        <v>3092</v>
      </c>
      <c r="B2476" s="6" t="s">
        <v>2594</v>
      </c>
      <c r="C2476" s="2" t="s">
        <v>461</v>
      </c>
      <c r="D2476" s="4">
        <v>3.9739900000000001</v>
      </c>
      <c r="E2476" s="4">
        <v>2.7065700000000001</v>
      </c>
      <c r="F2476" s="4">
        <v>4.2720000000000001E-2</v>
      </c>
    </row>
    <row r="2477" spans="1:6" x14ac:dyDescent="0.35">
      <c r="A2477" s="2" t="s">
        <v>3093</v>
      </c>
      <c r="B2477" s="6" t="s">
        <v>2594</v>
      </c>
      <c r="C2477" s="2" t="s">
        <v>461</v>
      </c>
      <c r="D2477" s="4">
        <v>3.2162899999999999</v>
      </c>
      <c r="E2477" s="4">
        <v>2.04169</v>
      </c>
      <c r="F2477" s="4">
        <v>3.662E-2</v>
      </c>
    </row>
    <row r="2478" spans="1:6" x14ac:dyDescent="0.35">
      <c r="A2478" s="2" t="s">
        <v>3094</v>
      </c>
      <c r="B2478" s="6" t="s">
        <v>2594</v>
      </c>
      <c r="C2478" s="2" t="s">
        <v>461</v>
      </c>
      <c r="D2478" s="4">
        <v>3.2162899999999999</v>
      </c>
      <c r="E2478" s="4">
        <v>2.04169</v>
      </c>
      <c r="F2478" s="4">
        <v>3.662E-2</v>
      </c>
    </row>
    <row r="2479" spans="1:6" x14ac:dyDescent="0.35">
      <c r="A2479" s="2" t="s">
        <v>3095</v>
      </c>
      <c r="B2479" s="6" t="s">
        <v>2594</v>
      </c>
      <c r="C2479" s="2" t="s">
        <v>461</v>
      </c>
      <c r="D2479" s="4">
        <v>3.2175799999999999</v>
      </c>
      <c r="E2479" s="4">
        <v>2.0415000000000001</v>
      </c>
      <c r="F2479" s="4">
        <v>3.8100000000000002E-2</v>
      </c>
    </row>
    <row r="2480" spans="1:6" x14ac:dyDescent="0.35">
      <c r="A2480" s="2" t="s">
        <v>3096</v>
      </c>
      <c r="B2480" s="6" t="s">
        <v>2594</v>
      </c>
      <c r="C2480" s="2" t="s">
        <v>461</v>
      </c>
      <c r="D2480" s="4">
        <v>3.2175799999999999</v>
      </c>
      <c r="E2480" s="4">
        <v>2.0415000000000001</v>
      </c>
      <c r="F2480" s="4">
        <v>3.8100000000000002E-2</v>
      </c>
    </row>
    <row r="2481" spans="1:6" x14ac:dyDescent="0.35">
      <c r="A2481" s="2" t="s">
        <v>3097</v>
      </c>
      <c r="B2481" s="6" t="s">
        <v>2594</v>
      </c>
      <c r="C2481" s="2" t="s">
        <v>461</v>
      </c>
      <c r="D2481" s="4">
        <v>3.2175799999999999</v>
      </c>
      <c r="E2481" s="4">
        <v>2.0415000000000001</v>
      </c>
      <c r="F2481" s="4">
        <v>3.8100000000000002E-2</v>
      </c>
    </row>
    <row r="2482" spans="1:6" x14ac:dyDescent="0.35">
      <c r="A2482" s="2" t="s">
        <v>3098</v>
      </c>
      <c r="B2482" s="6" t="s">
        <v>2594</v>
      </c>
      <c r="C2482" s="2" t="s">
        <v>461</v>
      </c>
      <c r="D2482" s="4">
        <v>3.2162899999999999</v>
      </c>
      <c r="E2482" s="4">
        <v>2.04169</v>
      </c>
      <c r="F2482" s="4">
        <v>3.662E-2</v>
      </c>
    </row>
    <row r="2483" spans="1:6" x14ac:dyDescent="0.35">
      <c r="A2483" s="2" t="s">
        <v>3099</v>
      </c>
      <c r="B2483" s="6" t="s">
        <v>2594</v>
      </c>
      <c r="C2483" s="2" t="s">
        <v>461</v>
      </c>
      <c r="D2483" s="4">
        <v>1.9227300000000001</v>
      </c>
      <c r="E2483" s="4">
        <v>0.75012000000000001</v>
      </c>
      <c r="F2483" s="4">
        <v>3.014E-2</v>
      </c>
    </row>
    <row r="2484" spans="1:6" x14ac:dyDescent="0.35">
      <c r="A2484" s="2" t="s">
        <v>3100</v>
      </c>
      <c r="B2484" s="6" t="s">
        <v>2594</v>
      </c>
      <c r="C2484" s="2" t="s">
        <v>461</v>
      </c>
      <c r="D2484" s="4">
        <v>1.9227300000000001</v>
      </c>
      <c r="E2484" s="4">
        <v>0.75012000000000001</v>
      </c>
      <c r="F2484" s="4">
        <v>3.014E-2</v>
      </c>
    </row>
    <row r="2485" spans="1:6" x14ac:dyDescent="0.35">
      <c r="A2485" s="2" t="s">
        <v>3101</v>
      </c>
      <c r="B2485" s="6" t="s">
        <v>2594</v>
      </c>
      <c r="C2485" s="2" t="s">
        <v>461</v>
      </c>
      <c r="D2485" s="4">
        <v>1.9227300000000001</v>
      </c>
      <c r="E2485" s="4">
        <v>0.75012000000000001</v>
      </c>
      <c r="F2485" s="4">
        <v>3.014E-2</v>
      </c>
    </row>
    <row r="2486" spans="1:6" x14ac:dyDescent="0.35">
      <c r="A2486" s="2" t="s">
        <v>3102</v>
      </c>
      <c r="B2486" s="6" t="s">
        <v>2594</v>
      </c>
      <c r="C2486" s="2" t="s">
        <v>461</v>
      </c>
      <c r="D2486" s="4">
        <v>1.9227300000000001</v>
      </c>
      <c r="E2486" s="4">
        <v>0.75012000000000001</v>
      </c>
      <c r="F2486" s="4">
        <v>3.014E-2</v>
      </c>
    </row>
    <row r="2487" spans="1:6" x14ac:dyDescent="0.35">
      <c r="A2487" s="2" t="s">
        <v>3103</v>
      </c>
      <c r="B2487" s="6" t="s">
        <v>2594</v>
      </c>
      <c r="C2487" s="2" t="s">
        <v>461</v>
      </c>
      <c r="D2487" s="4">
        <v>1.9227300000000001</v>
      </c>
      <c r="E2487" s="4">
        <v>0.75012000000000001</v>
      </c>
      <c r="F2487" s="4">
        <v>3.014E-2</v>
      </c>
    </row>
    <row r="2488" spans="1:6" x14ac:dyDescent="0.35">
      <c r="A2488" s="2" t="s">
        <v>3104</v>
      </c>
      <c r="B2488" s="6" t="s">
        <v>2594</v>
      </c>
      <c r="C2488" s="2" t="s">
        <v>461</v>
      </c>
      <c r="D2488" s="4">
        <v>1.9227300000000001</v>
      </c>
      <c r="E2488" s="4">
        <v>0.75012000000000001</v>
      </c>
      <c r="F2488" s="4">
        <v>3.014E-2</v>
      </c>
    </row>
    <row r="2489" spans="1:6" x14ac:dyDescent="0.35">
      <c r="A2489" s="2" t="s">
        <v>3105</v>
      </c>
      <c r="B2489" s="6" t="s">
        <v>2594</v>
      </c>
      <c r="C2489" s="2" t="s">
        <v>461</v>
      </c>
      <c r="D2489" s="4">
        <v>1.9227300000000001</v>
      </c>
      <c r="E2489" s="4">
        <v>0.75012000000000001</v>
      </c>
      <c r="F2489" s="4">
        <v>3.014E-2</v>
      </c>
    </row>
    <row r="2490" spans="1:6" x14ac:dyDescent="0.35">
      <c r="A2490" s="2" t="s">
        <v>3106</v>
      </c>
      <c r="B2490" s="6" t="s">
        <v>2594</v>
      </c>
      <c r="C2490" s="2" t="s">
        <v>461</v>
      </c>
      <c r="D2490" s="4">
        <v>1.9227300000000001</v>
      </c>
      <c r="E2490" s="4">
        <v>0.75012000000000001</v>
      </c>
      <c r="F2490" s="4">
        <v>3.014E-2</v>
      </c>
    </row>
    <row r="2491" spans="1:6" x14ac:dyDescent="0.35">
      <c r="A2491" s="2" t="s">
        <v>3107</v>
      </c>
      <c r="B2491" s="6" t="s">
        <v>2594</v>
      </c>
      <c r="C2491" s="2" t="s">
        <v>461</v>
      </c>
      <c r="D2491" s="4">
        <v>1.9227300000000001</v>
      </c>
      <c r="E2491" s="4">
        <v>0.75012000000000001</v>
      </c>
      <c r="F2491" s="4">
        <v>3.014E-2</v>
      </c>
    </row>
    <row r="2492" spans="1:6" x14ac:dyDescent="0.35">
      <c r="A2492" s="2" t="s">
        <v>3108</v>
      </c>
      <c r="B2492" s="6" t="s">
        <v>2594</v>
      </c>
      <c r="C2492" s="2" t="s">
        <v>461</v>
      </c>
      <c r="D2492" s="4">
        <v>1.9227300000000001</v>
      </c>
      <c r="E2492" s="4">
        <v>0.75012000000000001</v>
      </c>
      <c r="F2492" s="4">
        <v>3.014E-2</v>
      </c>
    </row>
    <row r="2493" spans="1:6" x14ac:dyDescent="0.35">
      <c r="A2493" s="2" t="s">
        <v>3109</v>
      </c>
      <c r="B2493" s="6" t="s">
        <v>2594</v>
      </c>
      <c r="C2493" s="2" t="s">
        <v>461</v>
      </c>
      <c r="D2493" s="4">
        <v>1.9227300000000001</v>
      </c>
      <c r="E2493" s="4">
        <v>0.75012000000000001</v>
      </c>
      <c r="F2493" s="4">
        <v>3.014E-2</v>
      </c>
    </row>
    <row r="2494" spans="1:6" x14ac:dyDescent="0.35">
      <c r="A2494" s="2" t="s">
        <v>3110</v>
      </c>
      <c r="B2494" s="6" t="s">
        <v>2594</v>
      </c>
      <c r="C2494" s="2" t="s">
        <v>461</v>
      </c>
      <c r="D2494" s="4">
        <v>1.9987600000000001</v>
      </c>
      <c r="E2494" s="4">
        <v>0.79934000000000005</v>
      </c>
      <c r="F2494" s="4">
        <v>3.1140000000000001E-2</v>
      </c>
    </row>
    <row r="2495" spans="1:6" x14ac:dyDescent="0.35">
      <c r="A2495" s="2" t="s">
        <v>3111</v>
      </c>
      <c r="B2495" s="6" t="s">
        <v>2594</v>
      </c>
      <c r="C2495" s="2" t="s">
        <v>461</v>
      </c>
      <c r="D2495" s="4">
        <v>1.9987600000000001</v>
      </c>
      <c r="E2495" s="4">
        <v>0.79934000000000005</v>
      </c>
      <c r="F2495" s="4">
        <v>3.1140000000000001E-2</v>
      </c>
    </row>
    <row r="2496" spans="1:6" x14ac:dyDescent="0.35">
      <c r="A2496" s="2" t="s">
        <v>3112</v>
      </c>
      <c r="B2496" s="6" t="s">
        <v>2594</v>
      </c>
      <c r="C2496" s="2" t="s">
        <v>461</v>
      </c>
      <c r="D2496" s="4">
        <v>1.9987600000000001</v>
      </c>
      <c r="E2496" s="4">
        <v>0.79934000000000005</v>
      </c>
      <c r="F2496" s="4">
        <v>3.1140000000000001E-2</v>
      </c>
    </row>
    <row r="2497" spans="1:6" x14ac:dyDescent="0.35">
      <c r="A2497" s="2" t="s">
        <v>3113</v>
      </c>
      <c r="B2497" s="6" t="s">
        <v>2594</v>
      </c>
      <c r="C2497" s="2" t="s">
        <v>461</v>
      </c>
      <c r="D2497" s="4">
        <v>1.9987600000000001</v>
      </c>
      <c r="E2497" s="4">
        <v>0.79934000000000005</v>
      </c>
      <c r="F2497" s="4">
        <v>3.1140000000000001E-2</v>
      </c>
    </row>
    <row r="2498" spans="1:6" x14ac:dyDescent="0.35">
      <c r="A2498" s="2" t="s">
        <v>3114</v>
      </c>
      <c r="B2498" s="6" t="s">
        <v>2594</v>
      </c>
      <c r="C2498" s="2" t="s">
        <v>461</v>
      </c>
      <c r="D2498" s="4">
        <v>1.98275</v>
      </c>
      <c r="E2498" s="4">
        <v>0.97924</v>
      </c>
      <c r="F2498" s="4">
        <v>3.1140000000000001E-2</v>
      </c>
    </row>
    <row r="2499" spans="1:6" x14ac:dyDescent="0.35">
      <c r="A2499" s="2" t="s">
        <v>3115</v>
      </c>
      <c r="B2499" s="6" t="s">
        <v>2594</v>
      </c>
      <c r="C2499" s="2" t="s">
        <v>461</v>
      </c>
      <c r="D2499" s="4">
        <v>1.98275</v>
      </c>
      <c r="E2499" s="4">
        <v>0.97924</v>
      </c>
      <c r="F2499" s="4">
        <v>3.1140000000000001E-2</v>
      </c>
    </row>
    <row r="2500" spans="1:6" x14ac:dyDescent="0.35">
      <c r="A2500" s="2" t="s">
        <v>3116</v>
      </c>
      <c r="B2500" s="6" t="s">
        <v>2594</v>
      </c>
      <c r="C2500" s="2" t="s">
        <v>461</v>
      </c>
      <c r="D2500" s="4">
        <v>1.98275</v>
      </c>
      <c r="E2500" s="4">
        <v>0.97924</v>
      </c>
      <c r="F2500" s="4">
        <v>3.1140000000000001E-2</v>
      </c>
    </row>
    <row r="2501" spans="1:6" x14ac:dyDescent="0.35">
      <c r="A2501" s="2" t="s">
        <v>3117</v>
      </c>
      <c r="B2501" s="6" t="s">
        <v>2594</v>
      </c>
      <c r="C2501" s="2" t="s">
        <v>461</v>
      </c>
      <c r="D2501" s="4">
        <v>2.18093</v>
      </c>
      <c r="E2501" s="4">
        <v>1.1471</v>
      </c>
      <c r="F2501" s="4">
        <v>3.0630000000000001E-2</v>
      </c>
    </row>
    <row r="2502" spans="1:6" x14ac:dyDescent="0.35">
      <c r="A2502" s="2" t="s">
        <v>3118</v>
      </c>
      <c r="B2502" s="6" t="s">
        <v>2594</v>
      </c>
      <c r="C2502" s="2" t="s">
        <v>461</v>
      </c>
      <c r="D2502" s="4">
        <v>2.18093</v>
      </c>
      <c r="E2502" s="4">
        <v>1.1471</v>
      </c>
      <c r="F2502" s="4">
        <v>3.0630000000000001E-2</v>
      </c>
    </row>
    <row r="2503" spans="1:6" x14ac:dyDescent="0.35">
      <c r="A2503" s="2" t="s">
        <v>3119</v>
      </c>
      <c r="B2503" s="6" t="s">
        <v>2594</v>
      </c>
      <c r="C2503" s="2" t="s">
        <v>461</v>
      </c>
      <c r="D2503" s="4">
        <v>2.18222</v>
      </c>
      <c r="E2503" s="4">
        <v>1.1469100000000001</v>
      </c>
      <c r="F2503" s="4">
        <v>3.211E-2</v>
      </c>
    </row>
    <row r="2504" spans="1:6" x14ac:dyDescent="0.35">
      <c r="A2504" s="2" t="s">
        <v>3120</v>
      </c>
      <c r="B2504" s="6" t="s">
        <v>2594</v>
      </c>
      <c r="C2504" s="2" t="s">
        <v>461</v>
      </c>
      <c r="D2504" s="4">
        <v>2.2323499999999998</v>
      </c>
      <c r="E2504" s="4">
        <v>1.24393</v>
      </c>
      <c r="F2504" s="4">
        <v>2.6589999999999999E-2</v>
      </c>
    </row>
    <row r="2505" spans="1:6" x14ac:dyDescent="0.35">
      <c r="A2505" s="2" t="s">
        <v>3121</v>
      </c>
      <c r="B2505" s="6" t="s">
        <v>2594</v>
      </c>
      <c r="C2505" s="2" t="s">
        <v>461</v>
      </c>
      <c r="D2505" s="4">
        <v>2.26512</v>
      </c>
      <c r="E2505" s="4">
        <v>1.26434</v>
      </c>
      <c r="F2505" s="4">
        <v>2.7E-2</v>
      </c>
    </row>
    <row r="2506" spans="1:6" x14ac:dyDescent="0.35">
      <c r="A2506" s="2" t="s">
        <v>3122</v>
      </c>
      <c r="B2506" s="6" t="s">
        <v>2594</v>
      </c>
      <c r="C2506" s="2" t="s">
        <v>461</v>
      </c>
      <c r="D2506" s="4">
        <v>1.9559899999999999</v>
      </c>
      <c r="E2506" s="4">
        <v>0.96926000000000001</v>
      </c>
      <c r="F2506" s="4">
        <v>2.4899999999999999E-2</v>
      </c>
    </row>
    <row r="2507" spans="1:6" x14ac:dyDescent="0.35">
      <c r="A2507" s="2" t="s">
        <v>3123</v>
      </c>
      <c r="B2507" s="6" t="s">
        <v>2594</v>
      </c>
      <c r="C2507" s="2" t="s">
        <v>461</v>
      </c>
      <c r="D2507" s="4">
        <v>1.9559899999999999</v>
      </c>
      <c r="E2507" s="4">
        <v>0.96926000000000001</v>
      </c>
      <c r="F2507" s="4">
        <v>2.4899999999999999E-2</v>
      </c>
    </row>
    <row r="2508" spans="1:6" x14ac:dyDescent="0.35">
      <c r="A2508" s="2" t="s">
        <v>3124</v>
      </c>
      <c r="B2508" s="6" t="s">
        <v>2594</v>
      </c>
      <c r="C2508" s="2" t="s">
        <v>461</v>
      </c>
      <c r="D2508" s="4">
        <v>1.9559899999999999</v>
      </c>
      <c r="E2508" s="4">
        <v>0.96926000000000001</v>
      </c>
      <c r="F2508" s="4">
        <v>2.4899999999999999E-2</v>
      </c>
    </row>
    <row r="2509" spans="1:6" x14ac:dyDescent="0.35">
      <c r="A2509" s="2" t="s">
        <v>3125</v>
      </c>
      <c r="B2509" s="6" t="s">
        <v>2594</v>
      </c>
      <c r="C2509" s="2" t="s">
        <v>461</v>
      </c>
      <c r="D2509" s="4">
        <v>1.9559899999999999</v>
      </c>
      <c r="E2509" s="4">
        <v>0.96926000000000001</v>
      </c>
      <c r="F2509" s="4">
        <v>2.4899999999999999E-2</v>
      </c>
    </row>
    <row r="2510" spans="1:6" x14ac:dyDescent="0.35">
      <c r="A2510" s="2" t="s">
        <v>3126</v>
      </c>
      <c r="B2510" s="6" t="s">
        <v>2594</v>
      </c>
      <c r="C2510" s="2" t="s">
        <v>461</v>
      </c>
      <c r="D2510" s="4">
        <v>1.9559899999999999</v>
      </c>
      <c r="E2510" s="4">
        <v>0.96926000000000001</v>
      </c>
      <c r="F2510" s="4">
        <v>2.4899999999999999E-2</v>
      </c>
    </row>
    <row r="2511" spans="1:6" x14ac:dyDescent="0.35">
      <c r="A2511" s="2" t="s">
        <v>3127</v>
      </c>
      <c r="B2511" s="6" t="s">
        <v>2594</v>
      </c>
      <c r="C2511" s="2" t="s">
        <v>461</v>
      </c>
      <c r="D2511" s="4">
        <v>2.0488300000000002</v>
      </c>
      <c r="E2511" s="4">
        <v>0.89566999999999997</v>
      </c>
      <c r="F2511" s="4">
        <v>3.2460000000000003E-2</v>
      </c>
    </row>
    <row r="2512" spans="1:6" x14ac:dyDescent="0.35">
      <c r="A2512" s="2" t="s">
        <v>3128</v>
      </c>
      <c r="B2512" s="6" t="s">
        <v>2594</v>
      </c>
      <c r="C2512" s="2" t="s">
        <v>461</v>
      </c>
      <c r="D2512" s="4">
        <v>2.0488300000000002</v>
      </c>
      <c r="E2512" s="4">
        <v>0.89566999999999997</v>
      </c>
      <c r="F2512" s="4">
        <v>3.2460000000000003E-2</v>
      </c>
    </row>
    <row r="2513" spans="1:6" x14ac:dyDescent="0.35">
      <c r="A2513" s="2" t="s">
        <v>3129</v>
      </c>
      <c r="B2513" s="6" t="s">
        <v>2594</v>
      </c>
      <c r="C2513" s="2" t="s">
        <v>461</v>
      </c>
      <c r="D2513" s="4">
        <v>2.0488300000000002</v>
      </c>
      <c r="E2513" s="4">
        <v>0.89566999999999997</v>
      </c>
      <c r="F2513" s="4">
        <v>3.2460000000000003E-2</v>
      </c>
    </row>
    <row r="2514" spans="1:6" x14ac:dyDescent="0.35">
      <c r="A2514" s="2" t="s">
        <v>3130</v>
      </c>
      <c r="B2514" s="6" t="s">
        <v>2594</v>
      </c>
      <c r="C2514" s="2" t="s">
        <v>461</v>
      </c>
      <c r="D2514" s="4">
        <v>2.0488300000000002</v>
      </c>
      <c r="E2514" s="4">
        <v>0.89566999999999997</v>
      </c>
      <c r="F2514" s="4">
        <v>3.2460000000000003E-2</v>
      </c>
    </row>
    <row r="2515" spans="1:6" x14ac:dyDescent="0.35">
      <c r="A2515" s="2" t="s">
        <v>3131</v>
      </c>
      <c r="B2515" s="6" t="s">
        <v>2594</v>
      </c>
      <c r="C2515" s="2" t="s">
        <v>461</v>
      </c>
      <c r="D2515" s="4">
        <v>2.0488300000000002</v>
      </c>
      <c r="E2515" s="4">
        <v>0.89566999999999997</v>
      </c>
      <c r="F2515" s="4">
        <v>3.2460000000000003E-2</v>
      </c>
    </row>
    <row r="2516" spans="1:6" x14ac:dyDescent="0.35">
      <c r="A2516" s="2" t="s">
        <v>3132</v>
      </c>
      <c r="B2516" s="6" t="s">
        <v>2594</v>
      </c>
      <c r="C2516" s="2" t="s">
        <v>461</v>
      </c>
      <c r="D2516" s="4">
        <v>2.0488300000000002</v>
      </c>
      <c r="E2516" s="4">
        <v>0.89566999999999997</v>
      </c>
      <c r="F2516" s="4">
        <v>3.2460000000000003E-2</v>
      </c>
    </row>
    <row r="2517" spans="1:6" x14ac:dyDescent="0.35">
      <c r="A2517" s="2" t="s">
        <v>3133</v>
      </c>
      <c r="B2517" s="6" t="s">
        <v>2594</v>
      </c>
      <c r="C2517" s="2" t="s">
        <v>461</v>
      </c>
      <c r="D2517" s="4">
        <v>2.0488300000000002</v>
      </c>
      <c r="E2517" s="4">
        <v>0.89566999999999997</v>
      </c>
      <c r="F2517" s="4">
        <v>3.2460000000000003E-2</v>
      </c>
    </row>
    <row r="2518" spans="1:6" x14ac:dyDescent="0.35">
      <c r="A2518" s="2" t="s">
        <v>3134</v>
      </c>
      <c r="B2518" s="6" t="s">
        <v>2594</v>
      </c>
      <c r="C2518" s="2" t="s">
        <v>461</v>
      </c>
      <c r="D2518" s="4">
        <v>2.0488300000000002</v>
      </c>
      <c r="E2518" s="4">
        <v>0.89566999999999997</v>
      </c>
      <c r="F2518" s="4">
        <v>3.2460000000000003E-2</v>
      </c>
    </row>
    <row r="2519" spans="1:6" x14ac:dyDescent="0.35">
      <c r="A2519" s="2" t="s">
        <v>3135</v>
      </c>
      <c r="B2519" s="6" t="s">
        <v>2594</v>
      </c>
      <c r="C2519" s="2" t="s">
        <v>461</v>
      </c>
      <c r="D2519" s="4">
        <v>1.9227300000000001</v>
      </c>
      <c r="E2519" s="4">
        <v>0.75012000000000001</v>
      </c>
      <c r="F2519" s="4">
        <v>3.014E-2</v>
      </c>
    </row>
    <row r="2520" spans="1:6" x14ac:dyDescent="0.35">
      <c r="A2520" s="2" t="s">
        <v>3136</v>
      </c>
      <c r="B2520" s="6" t="s">
        <v>2594</v>
      </c>
      <c r="C2520" s="2" t="s">
        <v>461</v>
      </c>
      <c r="D2520" s="4">
        <v>1.91544</v>
      </c>
      <c r="E2520" s="4">
        <v>0.74282999999999999</v>
      </c>
      <c r="F2520" s="4">
        <v>3.014E-2</v>
      </c>
    </row>
    <row r="2521" spans="1:6" x14ac:dyDescent="0.35">
      <c r="A2521" s="2" t="s">
        <v>3137</v>
      </c>
      <c r="B2521" s="6" t="s">
        <v>2594</v>
      </c>
      <c r="C2521" s="2" t="s">
        <v>461</v>
      </c>
      <c r="D2521" s="4">
        <v>1.95038</v>
      </c>
      <c r="E2521" s="4">
        <v>0.76232999999999995</v>
      </c>
      <c r="F2521" s="4">
        <v>3.0630000000000001E-2</v>
      </c>
    </row>
    <row r="2522" spans="1:6" x14ac:dyDescent="0.35">
      <c r="A2522" s="2" t="s">
        <v>3138</v>
      </c>
      <c r="B2522" s="6" t="s">
        <v>2594</v>
      </c>
      <c r="C2522" s="2" t="s">
        <v>461</v>
      </c>
      <c r="D2522" s="4">
        <v>1.95038</v>
      </c>
      <c r="E2522" s="4">
        <v>0.76232999999999995</v>
      </c>
      <c r="F2522" s="4">
        <v>3.0630000000000001E-2</v>
      </c>
    </row>
    <row r="2523" spans="1:6" x14ac:dyDescent="0.35">
      <c r="A2523" s="2" t="s">
        <v>3139</v>
      </c>
      <c r="B2523" s="6" t="s">
        <v>2594</v>
      </c>
      <c r="C2523" s="2" t="s">
        <v>461</v>
      </c>
      <c r="D2523" s="4">
        <v>1.95038</v>
      </c>
      <c r="E2523" s="4">
        <v>0.76232999999999995</v>
      </c>
      <c r="F2523" s="4">
        <v>3.0630000000000001E-2</v>
      </c>
    </row>
    <row r="2524" spans="1:6" x14ac:dyDescent="0.35">
      <c r="A2524" s="2" t="s">
        <v>3140</v>
      </c>
      <c r="B2524" s="6" t="s">
        <v>2594</v>
      </c>
      <c r="C2524" s="2" t="s">
        <v>461</v>
      </c>
      <c r="D2524" s="4">
        <v>1.9227300000000001</v>
      </c>
      <c r="E2524" s="4">
        <v>0.75012000000000001</v>
      </c>
      <c r="F2524" s="4">
        <v>3.014E-2</v>
      </c>
    </row>
    <row r="2525" spans="1:6" x14ac:dyDescent="0.35">
      <c r="A2525" s="2" t="s">
        <v>3141</v>
      </c>
      <c r="B2525" s="6" t="s">
        <v>2594</v>
      </c>
      <c r="C2525" s="2" t="s">
        <v>461</v>
      </c>
      <c r="D2525" s="4">
        <v>1.9160900000000001</v>
      </c>
      <c r="E2525" s="4">
        <v>0.74348000000000003</v>
      </c>
      <c r="F2525" s="4">
        <v>3.014E-2</v>
      </c>
    </row>
    <row r="2526" spans="1:6" x14ac:dyDescent="0.35">
      <c r="A2526" s="2" t="s">
        <v>3142</v>
      </c>
      <c r="B2526" s="6" t="s">
        <v>2594</v>
      </c>
      <c r="C2526" s="2" t="s">
        <v>461</v>
      </c>
      <c r="D2526" s="4">
        <v>1.9160900000000001</v>
      </c>
      <c r="E2526" s="4">
        <v>0.74348000000000003</v>
      </c>
      <c r="F2526" s="4">
        <v>3.014E-2</v>
      </c>
    </row>
    <row r="2527" spans="1:6" x14ac:dyDescent="0.35">
      <c r="A2527" s="2" t="s">
        <v>3143</v>
      </c>
      <c r="B2527" s="6" t="s">
        <v>2594</v>
      </c>
      <c r="C2527" s="2" t="s">
        <v>461</v>
      </c>
      <c r="D2527" s="4">
        <v>1.9160900000000001</v>
      </c>
      <c r="E2527" s="4">
        <v>0.74348000000000003</v>
      </c>
      <c r="F2527" s="4">
        <v>3.014E-2</v>
      </c>
    </row>
    <row r="2528" spans="1:6" x14ac:dyDescent="0.35">
      <c r="A2528" s="2" t="s">
        <v>3144</v>
      </c>
      <c r="B2528" s="6" t="s">
        <v>2594</v>
      </c>
      <c r="C2528" s="2" t="s">
        <v>461</v>
      </c>
      <c r="D2528" s="4">
        <v>1.9160900000000001</v>
      </c>
      <c r="E2528" s="4">
        <v>0.74348000000000003</v>
      </c>
      <c r="F2528" s="4">
        <v>3.014E-2</v>
      </c>
    </row>
    <row r="2529" spans="1:6" x14ac:dyDescent="0.35">
      <c r="A2529" s="2" t="s">
        <v>3145</v>
      </c>
      <c r="B2529" s="6" t="s">
        <v>2594</v>
      </c>
      <c r="C2529" s="2" t="s">
        <v>461</v>
      </c>
      <c r="D2529" s="4">
        <v>2.0651099999999998</v>
      </c>
      <c r="E2529" s="4">
        <v>0.91195000000000004</v>
      </c>
      <c r="F2529" s="4">
        <v>3.2460000000000003E-2</v>
      </c>
    </row>
    <row r="2530" spans="1:6" x14ac:dyDescent="0.35">
      <c r="A2530" s="2" t="s">
        <v>3146</v>
      </c>
      <c r="B2530" s="6" t="s">
        <v>2594</v>
      </c>
      <c r="C2530" s="2" t="s">
        <v>461</v>
      </c>
      <c r="D2530" s="4">
        <v>2.0651099999999998</v>
      </c>
      <c r="E2530" s="4">
        <v>0.91195000000000004</v>
      </c>
      <c r="F2530" s="4">
        <v>3.2460000000000003E-2</v>
      </c>
    </row>
    <row r="2531" spans="1:6" x14ac:dyDescent="0.35">
      <c r="A2531" s="2" t="s">
        <v>3147</v>
      </c>
      <c r="B2531" s="6" t="s">
        <v>2594</v>
      </c>
      <c r="C2531" s="2" t="s">
        <v>461</v>
      </c>
      <c r="D2531" s="4">
        <v>2.0129100000000002</v>
      </c>
      <c r="E2531" s="4">
        <v>1.0261800000000001</v>
      </c>
      <c r="F2531" s="4">
        <v>2.4899999999999999E-2</v>
      </c>
    </row>
    <row r="2532" spans="1:6" x14ac:dyDescent="0.35">
      <c r="A2532" s="2" t="s">
        <v>3148</v>
      </c>
      <c r="B2532" s="6" t="s">
        <v>2594</v>
      </c>
      <c r="C2532" s="2" t="s">
        <v>461</v>
      </c>
      <c r="D2532" s="4">
        <v>1.98275</v>
      </c>
      <c r="E2532" s="4">
        <v>0.97924</v>
      </c>
      <c r="F2532" s="4">
        <v>3.1140000000000001E-2</v>
      </c>
    </row>
    <row r="2533" spans="1:6" x14ac:dyDescent="0.35">
      <c r="A2533" s="2" t="s">
        <v>3149</v>
      </c>
      <c r="B2533" s="6" t="s">
        <v>2594</v>
      </c>
      <c r="C2533" s="2" t="s">
        <v>461</v>
      </c>
      <c r="D2533" s="4">
        <v>1.98275</v>
      </c>
      <c r="E2533" s="4">
        <v>0.97924</v>
      </c>
      <c r="F2533" s="4">
        <v>3.1140000000000001E-2</v>
      </c>
    </row>
    <row r="2534" spans="1:6" x14ac:dyDescent="0.35">
      <c r="A2534" s="2" t="s">
        <v>3150</v>
      </c>
      <c r="B2534" s="6" t="s">
        <v>2594</v>
      </c>
      <c r="C2534" s="2" t="s">
        <v>461</v>
      </c>
      <c r="D2534" s="4">
        <v>1.98275</v>
      </c>
      <c r="E2534" s="4">
        <v>0.97924</v>
      </c>
      <c r="F2534" s="4">
        <v>3.1140000000000001E-2</v>
      </c>
    </row>
    <row r="2535" spans="1:6" x14ac:dyDescent="0.35">
      <c r="A2535" s="2" t="s">
        <v>3151</v>
      </c>
      <c r="B2535" s="6" t="s">
        <v>2594</v>
      </c>
      <c r="C2535" s="2" t="s">
        <v>461</v>
      </c>
      <c r="D2535" s="4">
        <v>1.98275</v>
      </c>
      <c r="E2535" s="4">
        <v>0.97924</v>
      </c>
      <c r="F2535" s="4">
        <v>3.1140000000000001E-2</v>
      </c>
    </row>
    <row r="2536" spans="1:6" x14ac:dyDescent="0.35">
      <c r="A2536" s="2" t="s">
        <v>3152</v>
      </c>
      <c r="B2536" s="6" t="s">
        <v>2594</v>
      </c>
      <c r="C2536" s="2" t="s">
        <v>461</v>
      </c>
      <c r="D2536" s="4">
        <v>2.2899600000000002</v>
      </c>
      <c r="E2536" s="4">
        <v>1.23055</v>
      </c>
      <c r="F2536" s="4">
        <v>3.3799999999999997E-2</v>
      </c>
    </row>
    <row r="2537" spans="1:6" x14ac:dyDescent="0.35">
      <c r="A2537" s="2" t="s">
        <v>3153</v>
      </c>
      <c r="B2537" s="6" t="s">
        <v>2594</v>
      </c>
      <c r="C2537" s="2" t="s">
        <v>461</v>
      </c>
      <c r="D2537" s="4">
        <v>2.0501200000000002</v>
      </c>
      <c r="E2537" s="4">
        <v>0.89548000000000005</v>
      </c>
      <c r="F2537" s="4">
        <v>3.3939999999999998E-2</v>
      </c>
    </row>
    <row r="2538" spans="1:6" x14ac:dyDescent="0.35">
      <c r="A2538" s="2" t="s">
        <v>3154</v>
      </c>
      <c r="B2538" s="6" t="s">
        <v>2594</v>
      </c>
      <c r="C2538" s="2" t="s">
        <v>461</v>
      </c>
      <c r="D2538" s="4">
        <v>2.0798800000000002</v>
      </c>
      <c r="E2538" s="4">
        <v>0.91010000000000002</v>
      </c>
      <c r="F2538" s="4">
        <v>3.4479999999999997E-2</v>
      </c>
    </row>
    <row r="2539" spans="1:6" x14ac:dyDescent="0.35">
      <c r="A2539" s="2" t="s">
        <v>3155</v>
      </c>
      <c r="B2539" s="6" t="s">
        <v>2594</v>
      </c>
      <c r="C2539" s="2" t="s">
        <v>461</v>
      </c>
      <c r="D2539" s="4">
        <v>2.0785900000000002</v>
      </c>
      <c r="E2539" s="4">
        <v>0.91029000000000004</v>
      </c>
      <c r="F2539" s="4">
        <v>3.3000000000000002E-2</v>
      </c>
    </row>
    <row r="2540" spans="1:6" x14ac:dyDescent="0.35">
      <c r="A2540" s="2" t="s">
        <v>3156</v>
      </c>
      <c r="B2540" s="6" t="s">
        <v>2594</v>
      </c>
      <c r="C2540" s="2" t="s">
        <v>461</v>
      </c>
      <c r="D2540" s="4">
        <v>2.0488300000000002</v>
      </c>
      <c r="E2540" s="4">
        <v>0.89566999999999997</v>
      </c>
      <c r="F2540" s="4">
        <v>3.2460000000000003E-2</v>
      </c>
    </row>
    <row r="2541" spans="1:6" x14ac:dyDescent="0.35">
      <c r="A2541" s="2" t="s">
        <v>3157</v>
      </c>
      <c r="B2541" s="6" t="s">
        <v>2594</v>
      </c>
      <c r="C2541" s="2" t="s">
        <v>461</v>
      </c>
      <c r="D2541" s="4">
        <v>2.0785900000000002</v>
      </c>
      <c r="E2541" s="4">
        <v>0.91029000000000004</v>
      </c>
      <c r="F2541" s="4">
        <v>3.3000000000000002E-2</v>
      </c>
    </row>
    <row r="2542" spans="1:6" x14ac:dyDescent="0.35">
      <c r="A2542" s="2" t="s">
        <v>3158</v>
      </c>
      <c r="B2542" s="6" t="s">
        <v>2594</v>
      </c>
      <c r="C2542" s="2" t="s">
        <v>461</v>
      </c>
      <c r="D2542" s="4">
        <v>2.0349300000000001</v>
      </c>
      <c r="E2542" s="4">
        <v>1.03142</v>
      </c>
      <c r="F2542" s="4">
        <v>3.1140000000000001E-2</v>
      </c>
    </row>
    <row r="2543" spans="1:6" x14ac:dyDescent="0.35">
      <c r="A2543" s="2" t="s">
        <v>3159</v>
      </c>
      <c r="B2543" s="6" t="e">
        <v>#N/A</v>
      </c>
      <c r="C2543" s="2" t="e">
        <v>#N/A</v>
      </c>
      <c r="D2543" s="4">
        <v>2.3649</v>
      </c>
      <c r="E2543" s="4">
        <v>1.3472</v>
      </c>
      <c r="F2543" s="4">
        <v>3.3939999999999998E-2</v>
      </c>
    </row>
    <row r="2544" spans="1:6" x14ac:dyDescent="0.35">
      <c r="A2544" s="2" t="s">
        <v>3160</v>
      </c>
      <c r="B2544" s="6" t="e">
        <v>#N/A</v>
      </c>
      <c r="C2544" s="2" t="e">
        <v>#N/A</v>
      </c>
      <c r="D2544" s="4">
        <v>2.3649</v>
      </c>
      <c r="E2544" s="4">
        <v>1.3472</v>
      </c>
      <c r="F2544" s="4">
        <v>3.3939999999999998E-2</v>
      </c>
    </row>
    <row r="2545" spans="1:6" x14ac:dyDescent="0.35">
      <c r="A2545" s="2" t="s">
        <v>3161</v>
      </c>
      <c r="B2545" s="6" t="s">
        <v>2594</v>
      </c>
      <c r="C2545" s="2" t="s">
        <v>461</v>
      </c>
      <c r="D2545" s="4">
        <v>2.0291299999999999</v>
      </c>
      <c r="E2545" s="4">
        <v>1.02562</v>
      </c>
      <c r="F2545" s="4">
        <v>3.1140000000000001E-2</v>
      </c>
    </row>
    <row r="2546" spans="1:6" x14ac:dyDescent="0.35">
      <c r="A2546" s="2" t="s">
        <v>3162</v>
      </c>
      <c r="B2546" s="6" t="s">
        <v>2594</v>
      </c>
      <c r="C2546" s="2" t="s">
        <v>461</v>
      </c>
      <c r="D2546" s="4">
        <v>2.42692</v>
      </c>
      <c r="E2546" s="4">
        <v>1.4092899999999999</v>
      </c>
      <c r="F2546" s="4">
        <v>3.4500000000000003E-2</v>
      </c>
    </row>
    <row r="2547" spans="1:6" x14ac:dyDescent="0.35">
      <c r="A2547" s="2" t="s">
        <v>3163</v>
      </c>
      <c r="B2547" s="6" t="s">
        <v>2594</v>
      </c>
      <c r="C2547" s="2" t="s">
        <v>461</v>
      </c>
      <c r="D2547" s="4">
        <v>2.42692</v>
      </c>
      <c r="E2547" s="4">
        <v>1.4092899999999999</v>
      </c>
      <c r="F2547" s="4">
        <v>3.4500000000000003E-2</v>
      </c>
    </row>
    <row r="2548" spans="1:6" x14ac:dyDescent="0.35">
      <c r="A2548" s="2" t="s">
        <v>3164</v>
      </c>
      <c r="B2548" s="6" t="s">
        <v>2594</v>
      </c>
      <c r="C2548" s="2" t="s">
        <v>461</v>
      </c>
      <c r="D2548" s="4">
        <v>2.42821</v>
      </c>
      <c r="E2548" s="4">
        <v>1.4091</v>
      </c>
      <c r="F2548" s="4">
        <v>3.5979999999999998E-2</v>
      </c>
    </row>
    <row r="2549" spans="1:6" x14ac:dyDescent="0.35">
      <c r="A2549" s="2" t="s">
        <v>3165</v>
      </c>
      <c r="B2549" s="6" t="s">
        <v>2594</v>
      </c>
      <c r="C2549" s="2" t="s">
        <v>461</v>
      </c>
      <c r="D2549" s="4">
        <v>2.4530099999999999</v>
      </c>
      <c r="E2549" s="4">
        <v>1.38527</v>
      </c>
      <c r="F2549" s="4">
        <v>4.2130000000000001E-2</v>
      </c>
    </row>
    <row r="2550" spans="1:6" x14ac:dyDescent="0.35">
      <c r="A2550" s="2" t="s">
        <v>3166</v>
      </c>
      <c r="B2550" s="6" t="s">
        <v>2594</v>
      </c>
      <c r="C2550" s="2" t="s">
        <v>461</v>
      </c>
      <c r="D2550" s="4">
        <v>2.4440400000000002</v>
      </c>
      <c r="E2550" s="4">
        <v>1.3763000000000001</v>
      </c>
      <c r="F2550" s="4">
        <v>4.2130000000000001E-2</v>
      </c>
    </row>
    <row r="2551" spans="1:6" x14ac:dyDescent="0.35">
      <c r="A2551" s="2" t="s">
        <v>3167</v>
      </c>
      <c r="B2551" s="6" t="s">
        <v>2594</v>
      </c>
      <c r="C2551" s="2" t="s">
        <v>461</v>
      </c>
      <c r="D2551" s="4">
        <v>2.5273300000000001</v>
      </c>
      <c r="E2551" s="4">
        <v>1.42919</v>
      </c>
      <c r="F2551" s="4">
        <v>4.2209999999999998E-2</v>
      </c>
    </row>
    <row r="2552" spans="1:6" x14ac:dyDescent="0.35">
      <c r="A2552" s="2" t="s">
        <v>3168</v>
      </c>
      <c r="B2552" s="6" t="s">
        <v>2594</v>
      </c>
      <c r="C2552" s="2" t="s">
        <v>461</v>
      </c>
      <c r="D2552" s="4">
        <v>2.4287200000000002</v>
      </c>
      <c r="E2552" s="4">
        <v>1.36246</v>
      </c>
      <c r="F2552" s="4">
        <v>4.0649999999999999E-2</v>
      </c>
    </row>
    <row r="2553" spans="1:6" x14ac:dyDescent="0.35">
      <c r="A2553" s="2" t="s">
        <v>3169</v>
      </c>
      <c r="B2553" s="6" t="s">
        <v>2594</v>
      </c>
      <c r="C2553" s="2" t="s">
        <v>461</v>
      </c>
      <c r="D2553" s="4">
        <v>2.5273300000000001</v>
      </c>
      <c r="E2553" s="4">
        <v>1.42919</v>
      </c>
      <c r="F2553" s="4">
        <v>4.2209999999999998E-2</v>
      </c>
    </row>
    <row r="2554" spans="1:6" x14ac:dyDescent="0.35">
      <c r="A2554" s="2" t="s">
        <v>3170</v>
      </c>
      <c r="B2554" s="6" t="e">
        <v>#N/A</v>
      </c>
      <c r="C2554" s="2" t="e">
        <v>#N/A</v>
      </c>
      <c r="D2554" s="4">
        <v>2.5273300000000001</v>
      </c>
      <c r="E2554" s="4">
        <v>1.42919</v>
      </c>
      <c r="F2554" s="4">
        <v>4.2209999999999998E-2</v>
      </c>
    </row>
    <row r="2555" spans="1:6" x14ac:dyDescent="0.35">
      <c r="A2555" s="2" t="s">
        <v>3171</v>
      </c>
      <c r="B2555" s="6" t="s">
        <v>2594</v>
      </c>
      <c r="C2555" s="2" t="s">
        <v>461</v>
      </c>
      <c r="D2555" s="4">
        <v>2.5454699999999999</v>
      </c>
      <c r="E2555" s="4">
        <v>1.5052700000000001</v>
      </c>
      <c r="F2555" s="4">
        <v>3.39E-2</v>
      </c>
    </row>
    <row r="2556" spans="1:6" x14ac:dyDescent="0.35">
      <c r="A2556" s="2" t="s">
        <v>3172</v>
      </c>
      <c r="B2556" s="6" t="s">
        <v>2594</v>
      </c>
      <c r="C2556" s="2" t="s">
        <v>461</v>
      </c>
      <c r="D2556" s="4">
        <v>2.5454699999999999</v>
      </c>
      <c r="E2556" s="4">
        <v>1.5052700000000001</v>
      </c>
      <c r="F2556" s="4">
        <v>3.39E-2</v>
      </c>
    </row>
    <row r="2557" spans="1:6" x14ac:dyDescent="0.35">
      <c r="A2557" s="2" t="s">
        <v>3173</v>
      </c>
      <c r="B2557" s="6" t="s">
        <v>2594</v>
      </c>
      <c r="C2557" s="2" t="s">
        <v>461</v>
      </c>
      <c r="D2557" s="4">
        <v>2.5461299999999998</v>
      </c>
      <c r="E2557" s="4">
        <v>1.5016799999999999</v>
      </c>
      <c r="F2557" s="4">
        <v>3.8150000000000003E-2</v>
      </c>
    </row>
    <row r="2558" spans="1:6" x14ac:dyDescent="0.35">
      <c r="A2558" s="2" t="s">
        <v>3174</v>
      </c>
      <c r="B2558" s="6" t="s">
        <v>2594</v>
      </c>
      <c r="C2558" s="2" t="s">
        <v>461</v>
      </c>
      <c r="D2558" s="4">
        <v>2.0291299999999999</v>
      </c>
      <c r="E2558" s="4">
        <v>1.02562</v>
      </c>
      <c r="F2558" s="4">
        <v>3.1140000000000001E-2</v>
      </c>
    </row>
    <row r="2559" spans="1:6" x14ac:dyDescent="0.35">
      <c r="A2559" s="2" t="s">
        <v>3175</v>
      </c>
      <c r="B2559" s="6" t="s">
        <v>2594</v>
      </c>
      <c r="C2559" s="2" t="s">
        <v>461</v>
      </c>
      <c r="D2559" s="4">
        <v>2.04318</v>
      </c>
      <c r="E2559" s="4">
        <v>1.0396700000000001</v>
      </c>
      <c r="F2559" s="4">
        <v>3.1140000000000001E-2</v>
      </c>
    </row>
    <row r="2560" spans="1:6" x14ac:dyDescent="0.35">
      <c r="A2560" s="2" t="s">
        <v>3176</v>
      </c>
      <c r="B2560" s="6" t="s">
        <v>2594</v>
      </c>
      <c r="C2560" s="2" t="s">
        <v>461</v>
      </c>
      <c r="D2560" s="4">
        <v>2.0291299999999999</v>
      </c>
      <c r="E2560" s="4">
        <v>1.02562</v>
      </c>
      <c r="F2560" s="4">
        <v>3.1140000000000001E-2</v>
      </c>
    </row>
    <row r="2561" spans="1:6" x14ac:dyDescent="0.35">
      <c r="A2561" s="2" t="s">
        <v>3177</v>
      </c>
      <c r="B2561" s="6" t="e">
        <v>#N/A</v>
      </c>
      <c r="C2561" s="2" t="e">
        <v>#N/A</v>
      </c>
      <c r="D2561" s="4">
        <v>2.1408700000000001</v>
      </c>
      <c r="E2561" s="4">
        <v>1.1373599999999999</v>
      </c>
      <c r="F2561" s="4">
        <v>3.1140000000000001E-2</v>
      </c>
    </row>
    <row r="2562" spans="1:6" x14ac:dyDescent="0.35">
      <c r="A2562" s="2" t="s">
        <v>3178</v>
      </c>
      <c r="B2562" s="6" t="e">
        <v>#N/A</v>
      </c>
      <c r="C2562" s="2" t="e">
        <v>#N/A</v>
      </c>
      <c r="D2562" s="4">
        <v>2.4363299999999999</v>
      </c>
      <c r="E2562" s="4">
        <v>1.3159799999999999</v>
      </c>
      <c r="F2562" s="4">
        <v>3.6080000000000001E-2</v>
      </c>
    </row>
    <row r="2563" spans="1:6" x14ac:dyDescent="0.35">
      <c r="A2563" s="2" t="s">
        <v>3179</v>
      </c>
      <c r="B2563" s="6" t="s">
        <v>3180</v>
      </c>
      <c r="C2563" s="2" t="s">
        <v>461</v>
      </c>
      <c r="D2563" s="4">
        <v>1.7776000000000001</v>
      </c>
      <c r="E2563" s="4">
        <v>0.91854000000000002</v>
      </c>
      <c r="F2563" s="4">
        <v>2.7720000000000002E-2</v>
      </c>
    </row>
    <row r="2564" spans="1:6" x14ac:dyDescent="0.35">
      <c r="A2564" s="2" t="s">
        <v>3181</v>
      </c>
      <c r="B2564" s="6" t="e">
        <v>#N/A</v>
      </c>
      <c r="C2564" s="2" t="e">
        <v>#N/A</v>
      </c>
      <c r="D2564" s="4">
        <v>2.2452200000000002</v>
      </c>
      <c r="E2564" s="4">
        <v>1.3550199999999999</v>
      </c>
      <c r="F2564" s="4">
        <v>3.1759999999999997E-2</v>
      </c>
    </row>
    <row r="2565" spans="1:6" x14ac:dyDescent="0.35">
      <c r="A2565" s="2" t="s">
        <v>3182</v>
      </c>
      <c r="B2565" s="6" t="s">
        <v>3180</v>
      </c>
      <c r="C2565" s="2" t="s">
        <v>461</v>
      </c>
      <c r="D2565" s="4">
        <v>2.2452200000000002</v>
      </c>
      <c r="E2565" s="4">
        <v>1.3550199999999999</v>
      </c>
      <c r="F2565" s="4">
        <v>3.1759999999999997E-2</v>
      </c>
    </row>
    <row r="2566" spans="1:6" x14ac:dyDescent="0.35">
      <c r="A2566" s="2" t="s">
        <v>3183</v>
      </c>
      <c r="B2566" s="6" t="e">
        <v>#N/A</v>
      </c>
      <c r="C2566" s="2" t="e">
        <v>#N/A</v>
      </c>
      <c r="D2566" s="4">
        <v>2.2460800000000001</v>
      </c>
      <c r="E2566" s="4">
        <v>1.3548899999999999</v>
      </c>
      <c r="F2566" s="4">
        <v>3.2750000000000001E-2</v>
      </c>
    </row>
    <row r="2567" spans="1:6" x14ac:dyDescent="0.35">
      <c r="A2567" s="2" t="s">
        <v>3184</v>
      </c>
      <c r="B2567" s="6" t="e">
        <v>#N/A</v>
      </c>
      <c r="C2567" s="2" t="e">
        <v>#N/A</v>
      </c>
      <c r="D2567" s="4">
        <v>2.2460800000000001</v>
      </c>
      <c r="E2567" s="4">
        <v>1.3548899999999999</v>
      </c>
      <c r="F2567" s="4">
        <v>3.2750000000000001E-2</v>
      </c>
    </row>
    <row r="2568" spans="1:6" x14ac:dyDescent="0.35">
      <c r="A2568" s="2" t="s">
        <v>3185</v>
      </c>
      <c r="B2568" s="6" t="s">
        <v>3180</v>
      </c>
      <c r="C2568" s="2" t="s">
        <v>461</v>
      </c>
      <c r="D2568" s="4">
        <v>2.2460800000000001</v>
      </c>
      <c r="E2568" s="4">
        <v>1.3548899999999999</v>
      </c>
      <c r="F2568" s="4">
        <v>3.2750000000000001E-2</v>
      </c>
    </row>
    <row r="2569" spans="1:6" x14ac:dyDescent="0.35">
      <c r="A2569" s="2" t="s">
        <v>3186</v>
      </c>
      <c r="B2569" s="6" t="s">
        <v>3180</v>
      </c>
      <c r="C2569" s="2" t="s">
        <v>461</v>
      </c>
      <c r="D2569" s="4">
        <v>2.2460800000000001</v>
      </c>
      <c r="E2569" s="4">
        <v>1.3548899999999999</v>
      </c>
      <c r="F2569" s="4">
        <v>3.2750000000000001E-2</v>
      </c>
    </row>
    <row r="2570" spans="1:6" x14ac:dyDescent="0.35">
      <c r="A2570" s="2" t="s">
        <v>3187</v>
      </c>
      <c r="B2570" s="6" t="s">
        <v>3180</v>
      </c>
      <c r="C2570" s="2" t="s">
        <v>461</v>
      </c>
      <c r="D2570" s="4">
        <v>1.7709600000000001</v>
      </c>
      <c r="E2570" s="4">
        <v>0.91190000000000004</v>
      </c>
      <c r="F2570" s="4">
        <v>2.7720000000000002E-2</v>
      </c>
    </row>
    <row r="2571" spans="1:6" x14ac:dyDescent="0.35">
      <c r="A2571" s="2" t="s">
        <v>3188</v>
      </c>
      <c r="B2571" s="6" t="s">
        <v>3180</v>
      </c>
      <c r="C2571" s="2" t="s">
        <v>461</v>
      </c>
      <c r="D2571" s="4">
        <v>2.1228099999999999</v>
      </c>
      <c r="E2571" s="4">
        <v>1.2738499999999999</v>
      </c>
      <c r="F2571" s="4">
        <v>2.9739999999999999E-2</v>
      </c>
    </row>
    <row r="2572" spans="1:6" x14ac:dyDescent="0.35">
      <c r="A2572" s="2" t="s">
        <v>3189</v>
      </c>
      <c r="B2572" s="6" t="s">
        <v>3180</v>
      </c>
      <c r="C2572" s="2" t="s">
        <v>461</v>
      </c>
      <c r="D2572" s="4">
        <v>2.1228099999999999</v>
      </c>
      <c r="E2572" s="4">
        <v>1.2738499999999999</v>
      </c>
      <c r="F2572" s="4">
        <v>2.9739999999999999E-2</v>
      </c>
    </row>
    <row r="2573" spans="1:6" x14ac:dyDescent="0.35">
      <c r="A2573" s="2" t="s">
        <v>3190</v>
      </c>
      <c r="B2573" s="6" t="s">
        <v>3180</v>
      </c>
      <c r="C2573" s="2" t="s">
        <v>461</v>
      </c>
      <c r="D2573" s="4">
        <v>2.1644100000000002</v>
      </c>
      <c r="E2573" s="4">
        <v>1.30192</v>
      </c>
      <c r="F2573" s="4">
        <v>3.04E-2</v>
      </c>
    </row>
    <row r="2574" spans="1:6" x14ac:dyDescent="0.35">
      <c r="A2574" s="2" t="s">
        <v>3191</v>
      </c>
      <c r="B2574" s="6" t="s">
        <v>3180</v>
      </c>
      <c r="C2574" s="2" t="s">
        <v>461</v>
      </c>
      <c r="D2574" s="4">
        <v>2.12365</v>
      </c>
      <c r="E2574" s="4">
        <v>1.2737099999999999</v>
      </c>
      <c r="F2574" s="4">
        <v>3.0720000000000001E-2</v>
      </c>
    </row>
    <row r="2575" spans="1:6" x14ac:dyDescent="0.35">
      <c r="A2575" s="2" t="s">
        <v>3192</v>
      </c>
      <c r="B2575" s="6" t="s">
        <v>3180</v>
      </c>
      <c r="C2575" s="2" t="s">
        <v>461</v>
      </c>
      <c r="D2575" s="4">
        <v>2.12365</v>
      </c>
      <c r="E2575" s="4">
        <v>1.2737099999999999</v>
      </c>
      <c r="F2575" s="4">
        <v>3.0720000000000001E-2</v>
      </c>
    </row>
    <row r="2576" spans="1:6" x14ac:dyDescent="0.35">
      <c r="A2576" s="2" t="s">
        <v>3193</v>
      </c>
      <c r="B2576" s="6" t="s">
        <v>3180</v>
      </c>
      <c r="C2576" s="2" t="s">
        <v>461</v>
      </c>
      <c r="D2576" s="4">
        <v>2.12365</v>
      </c>
      <c r="E2576" s="4">
        <v>1.2737099999999999</v>
      </c>
      <c r="F2576" s="4">
        <v>3.0720000000000001E-2</v>
      </c>
    </row>
    <row r="2577" spans="1:6" x14ac:dyDescent="0.35">
      <c r="A2577" s="2" t="s">
        <v>3194</v>
      </c>
      <c r="B2577" s="6" t="s">
        <v>3180</v>
      </c>
      <c r="C2577" s="2" t="s">
        <v>461</v>
      </c>
      <c r="D2577" s="4">
        <v>2.12365</v>
      </c>
      <c r="E2577" s="4">
        <v>1.2737099999999999</v>
      </c>
      <c r="F2577" s="4">
        <v>3.0720000000000001E-2</v>
      </c>
    </row>
    <row r="2578" spans="1:6" x14ac:dyDescent="0.35">
      <c r="A2578" s="2" t="s">
        <v>3195</v>
      </c>
      <c r="B2578" s="6" t="s">
        <v>3180</v>
      </c>
      <c r="C2578" s="2" t="s">
        <v>461</v>
      </c>
      <c r="D2578" s="4">
        <v>2.16527</v>
      </c>
      <c r="E2578" s="4">
        <v>1.30179</v>
      </c>
      <c r="F2578" s="4">
        <v>3.1390000000000001E-2</v>
      </c>
    </row>
    <row r="2579" spans="1:6" x14ac:dyDescent="0.35">
      <c r="A2579" s="2" t="s">
        <v>3196</v>
      </c>
      <c r="B2579" s="6" t="s">
        <v>3180</v>
      </c>
      <c r="C2579" s="2" t="s">
        <v>461</v>
      </c>
      <c r="D2579" s="4">
        <v>2.16527</v>
      </c>
      <c r="E2579" s="4">
        <v>1.30179</v>
      </c>
      <c r="F2579" s="4">
        <v>3.1390000000000001E-2</v>
      </c>
    </row>
    <row r="2580" spans="1:6" x14ac:dyDescent="0.35">
      <c r="A2580" s="2" t="s">
        <v>3197</v>
      </c>
      <c r="B2580" s="6" t="s">
        <v>3180</v>
      </c>
      <c r="C2580" s="2" t="s">
        <v>461</v>
      </c>
      <c r="D2580" s="4">
        <v>1.61141</v>
      </c>
      <c r="E2580" s="4">
        <v>0.66552</v>
      </c>
      <c r="F2580" s="4">
        <v>2.8729999999999999E-2</v>
      </c>
    </row>
    <row r="2581" spans="1:6" x14ac:dyDescent="0.35">
      <c r="A2581" s="2" t="s">
        <v>3198</v>
      </c>
      <c r="B2581" s="6" t="s">
        <v>3180</v>
      </c>
      <c r="C2581" s="2" t="s">
        <v>461</v>
      </c>
      <c r="D2581" s="4">
        <v>1.61141</v>
      </c>
      <c r="E2581" s="4">
        <v>0.66552</v>
      </c>
      <c r="F2581" s="4">
        <v>2.8729999999999999E-2</v>
      </c>
    </row>
    <row r="2582" spans="1:6" x14ac:dyDescent="0.35">
      <c r="A2582" s="2" t="s">
        <v>3199</v>
      </c>
      <c r="B2582" s="6" t="s">
        <v>3180</v>
      </c>
      <c r="C2582" s="2" t="s">
        <v>461</v>
      </c>
      <c r="D2582" s="4">
        <v>1.61141</v>
      </c>
      <c r="E2582" s="4">
        <v>0.66552</v>
      </c>
      <c r="F2582" s="4">
        <v>2.8729999999999999E-2</v>
      </c>
    </row>
    <row r="2583" spans="1:6" x14ac:dyDescent="0.35">
      <c r="A2583" s="2" t="s">
        <v>3200</v>
      </c>
      <c r="B2583" s="6" t="s">
        <v>3180</v>
      </c>
      <c r="C2583" s="2" t="s">
        <v>461</v>
      </c>
      <c r="D2583" s="4">
        <v>1.89977</v>
      </c>
      <c r="E2583" s="4">
        <v>0.99112999999999996</v>
      </c>
      <c r="F2583" s="4">
        <v>2.9940000000000001E-2</v>
      </c>
    </row>
    <row r="2584" spans="1:6" x14ac:dyDescent="0.35">
      <c r="A2584" s="2" t="s">
        <v>3201</v>
      </c>
      <c r="B2584" s="6" t="s">
        <v>3180</v>
      </c>
      <c r="C2584" s="2" t="s">
        <v>461</v>
      </c>
      <c r="D2584" s="4">
        <v>1.89977</v>
      </c>
      <c r="E2584" s="4">
        <v>0.99112999999999996</v>
      </c>
      <c r="F2584" s="4">
        <v>2.9940000000000001E-2</v>
      </c>
    </row>
    <row r="2585" spans="1:6" x14ac:dyDescent="0.35">
      <c r="A2585" s="2" t="s">
        <v>3202</v>
      </c>
      <c r="B2585" s="6" t="s">
        <v>3180</v>
      </c>
      <c r="C2585" s="2" t="s">
        <v>461</v>
      </c>
      <c r="D2585" s="4">
        <v>1.7776000000000001</v>
      </c>
      <c r="E2585" s="4">
        <v>0.91854000000000002</v>
      </c>
      <c r="F2585" s="4">
        <v>2.7720000000000002E-2</v>
      </c>
    </row>
    <row r="2586" spans="1:6" x14ac:dyDescent="0.35">
      <c r="A2586" s="2" t="s">
        <v>3203</v>
      </c>
      <c r="B2586" s="6" t="e">
        <v>#N/A</v>
      </c>
      <c r="C2586" s="2" t="e">
        <v>#N/A</v>
      </c>
      <c r="D2586" s="4">
        <v>1.90063</v>
      </c>
      <c r="E2586" s="4">
        <v>0.99099999999999999</v>
      </c>
      <c r="F2586" s="4">
        <v>3.0929999999999999E-2</v>
      </c>
    </row>
    <row r="2587" spans="1:6" x14ac:dyDescent="0.35">
      <c r="A2587" s="2" t="s">
        <v>3204</v>
      </c>
      <c r="B2587" s="6" t="s">
        <v>3180</v>
      </c>
      <c r="C2587" s="2" t="s">
        <v>461</v>
      </c>
      <c r="D2587" s="4">
        <v>1.7776000000000001</v>
      </c>
      <c r="E2587" s="4">
        <v>0.91854000000000002</v>
      </c>
      <c r="F2587" s="4">
        <v>2.7720000000000002E-2</v>
      </c>
    </row>
    <row r="2588" spans="1:6" x14ac:dyDescent="0.35">
      <c r="A2588" s="2" t="s">
        <v>3205</v>
      </c>
      <c r="B2588" s="6" t="s">
        <v>3180</v>
      </c>
      <c r="C2588" s="2" t="s">
        <v>461</v>
      </c>
      <c r="D2588" s="4">
        <v>2.1802700000000002</v>
      </c>
      <c r="E2588" s="4">
        <v>1.29776</v>
      </c>
      <c r="F2588" s="4">
        <v>3.074E-2</v>
      </c>
    </row>
    <row r="2589" spans="1:6" x14ac:dyDescent="0.35">
      <c r="A2589" s="2" t="s">
        <v>3206</v>
      </c>
      <c r="B2589" s="6" t="s">
        <v>3180</v>
      </c>
      <c r="C2589" s="2" t="s">
        <v>461</v>
      </c>
      <c r="D2589" s="4">
        <v>2.18113</v>
      </c>
      <c r="E2589" s="4">
        <v>1.2976300000000001</v>
      </c>
      <c r="F2589" s="4">
        <v>3.1730000000000001E-2</v>
      </c>
    </row>
    <row r="2590" spans="1:6" x14ac:dyDescent="0.35">
      <c r="A2590" s="2" t="s">
        <v>3207</v>
      </c>
      <c r="B2590" s="6" t="e">
        <v>#N/A</v>
      </c>
      <c r="C2590" s="2" t="e">
        <v>#N/A</v>
      </c>
      <c r="D2590" s="4">
        <v>2.18113</v>
      </c>
      <c r="E2590" s="4">
        <v>1.2976300000000001</v>
      </c>
      <c r="F2590" s="4">
        <v>3.1730000000000001E-2</v>
      </c>
    </row>
    <row r="2591" spans="1:6" x14ac:dyDescent="0.35">
      <c r="A2591" s="2" t="s">
        <v>3208</v>
      </c>
      <c r="B2591" s="6" t="e">
        <v>#N/A</v>
      </c>
      <c r="C2591" s="2" t="e">
        <v>#N/A</v>
      </c>
      <c r="D2591" s="4">
        <v>2.18113</v>
      </c>
      <c r="E2591" s="4">
        <v>1.2976300000000001</v>
      </c>
      <c r="F2591" s="4">
        <v>3.1730000000000001E-2</v>
      </c>
    </row>
    <row r="2592" spans="1:6" x14ac:dyDescent="0.35">
      <c r="A2592" s="2" t="s">
        <v>3209</v>
      </c>
      <c r="B2592" s="6" t="e">
        <v>#N/A</v>
      </c>
      <c r="C2592" s="2" t="e">
        <v>#N/A</v>
      </c>
      <c r="D2592" s="4">
        <v>2.2803200000000001</v>
      </c>
      <c r="E2592" s="4">
        <v>1.37408</v>
      </c>
      <c r="F2592" s="4">
        <v>3.2079999999999997E-2</v>
      </c>
    </row>
    <row r="2593" spans="1:6" x14ac:dyDescent="0.35">
      <c r="A2593" s="2" t="s">
        <v>3210</v>
      </c>
      <c r="B2593" s="6" t="s">
        <v>3180</v>
      </c>
      <c r="C2593" s="2" t="s">
        <v>461</v>
      </c>
      <c r="D2593" s="4">
        <v>2.1802700000000002</v>
      </c>
      <c r="E2593" s="4">
        <v>1.29776</v>
      </c>
      <c r="F2593" s="4">
        <v>3.074E-2</v>
      </c>
    </row>
    <row r="2594" spans="1:6" x14ac:dyDescent="0.35">
      <c r="A2594" s="2" t="s">
        <v>3211</v>
      </c>
      <c r="B2594" s="6" t="s">
        <v>3180</v>
      </c>
      <c r="C2594" s="2" t="s">
        <v>461</v>
      </c>
      <c r="D2594" s="4">
        <v>2.0776400000000002</v>
      </c>
      <c r="E2594" s="4">
        <v>1.2293099999999999</v>
      </c>
      <c r="F2594" s="4">
        <v>2.911E-2</v>
      </c>
    </row>
    <row r="2595" spans="1:6" x14ac:dyDescent="0.35">
      <c r="A2595" s="2" t="s">
        <v>3212</v>
      </c>
      <c r="B2595" s="6" t="e">
        <v>#N/A</v>
      </c>
      <c r="C2595" s="2" t="e">
        <v>#N/A</v>
      </c>
      <c r="D2595" s="4">
        <v>2.2794599999999998</v>
      </c>
      <c r="E2595" s="4">
        <v>1.3742099999999999</v>
      </c>
      <c r="F2595" s="4">
        <v>3.109E-2</v>
      </c>
    </row>
    <row r="2596" spans="1:6" x14ac:dyDescent="0.35">
      <c r="A2596" s="2" t="s">
        <v>3213</v>
      </c>
      <c r="B2596" s="6" t="s">
        <v>3180</v>
      </c>
      <c r="C2596" s="2" t="s">
        <v>461</v>
      </c>
      <c r="D2596" s="4">
        <v>2.1802700000000002</v>
      </c>
      <c r="E2596" s="4">
        <v>1.29776</v>
      </c>
      <c r="F2596" s="4">
        <v>3.074E-2</v>
      </c>
    </row>
    <row r="2597" spans="1:6" x14ac:dyDescent="0.35">
      <c r="A2597" s="2" t="s">
        <v>3214</v>
      </c>
      <c r="B2597" s="6" t="e">
        <v>#N/A</v>
      </c>
      <c r="C2597" s="2" t="e">
        <v>#N/A</v>
      </c>
      <c r="D2597" s="4">
        <v>2.1802700000000002</v>
      </c>
      <c r="E2597" s="4">
        <v>1.29776</v>
      </c>
      <c r="F2597" s="4">
        <v>3.074E-2</v>
      </c>
    </row>
    <row r="2598" spans="1:6" x14ac:dyDescent="0.35">
      <c r="A2598" s="2" t="s">
        <v>3215</v>
      </c>
      <c r="B2598" s="6" t="s">
        <v>3180</v>
      </c>
      <c r="C2598" s="2" t="s">
        <v>461</v>
      </c>
      <c r="D2598" s="4">
        <v>2.1802700000000002</v>
      </c>
      <c r="E2598" s="4">
        <v>1.29776</v>
      </c>
      <c r="F2598" s="4">
        <v>3.074E-2</v>
      </c>
    </row>
    <row r="2599" spans="1:6" x14ac:dyDescent="0.35">
      <c r="A2599" s="2" t="s">
        <v>3216</v>
      </c>
      <c r="B2599" s="6" t="s">
        <v>3180</v>
      </c>
      <c r="C2599" s="2" t="s">
        <v>461</v>
      </c>
      <c r="D2599" s="4">
        <v>2.1802700000000002</v>
      </c>
      <c r="E2599" s="4">
        <v>1.29776</v>
      </c>
      <c r="F2599" s="4">
        <v>3.074E-2</v>
      </c>
    </row>
    <row r="2600" spans="1:6" x14ac:dyDescent="0.35">
      <c r="A2600" s="2" t="s">
        <v>3217</v>
      </c>
      <c r="B2600" s="6" t="s">
        <v>3180</v>
      </c>
      <c r="C2600" s="2" t="s">
        <v>461</v>
      </c>
      <c r="D2600" s="4">
        <v>2.18113</v>
      </c>
      <c r="E2600" s="4">
        <v>1.2976300000000001</v>
      </c>
      <c r="F2600" s="4">
        <v>3.1730000000000001E-2</v>
      </c>
    </row>
    <row r="2601" spans="1:6" x14ac:dyDescent="0.35">
      <c r="A2601" s="2" t="s">
        <v>3218</v>
      </c>
      <c r="B2601" s="6" t="s">
        <v>3180</v>
      </c>
      <c r="C2601" s="2" t="s">
        <v>461</v>
      </c>
      <c r="D2601" s="4">
        <v>2.3186399999999998</v>
      </c>
      <c r="E2601" s="4">
        <v>1.38934</v>
      </c>
      <c r="F2601" s="4">
        <v>3.3930000000000002E-2</v>
      </c>
    </row>
    <row r="2602" spans="1:6" x14ac:dyDescent="0.35">
      <c r="A2602" s="2" t="s">
        <v>3219</v>
      </c>
      <c r="B2602" s="6" t="s">
        <v>3180</v>
      </c>
      <c r="C2602" s="2" t="s">
        <v>461</v>
      </c>
      <c r="D2602" s="4">
        <v>2.32796</v>
      </c>
      <c r="E2602" s="4">
        <v>1.39866</v>
      </c>
      <c r="F2602" s="4">
        <v>3.3930000000000002E-2</v>
      </c>
    </row>
    <row r="2603" spans="1:6" x14ac:dyDescent="0.35">
      <c r="A2603" s="2" t="s">
        <v>3220</v>
      </c>
      <c r="B2603" s="6" t="s">
        <v>3180</v>
      </c>
      <c r="C2603" s="2" t="s">
        <v>461</v>
      </c>
      <c r="D2603" s="4">
        <v>2.0776400000000002</v>
      </c>
      <c r="E2603" s="4">
        <v>1.2293099999999999</v>
      </c>
      <c r="F2603" s="4">
        <v>2.911E-2</v>
      </c>
    </row>
    <row r="2604" spans="1:6" x14ac:dyDescent="0.35">
      <c r="A2604" s="2" t="s">
        <v>3221</v>
      </c>
      <c r="B2604" s="6" t="s">
        <v>3180</v>
      </c>
      <c r="C2604" s="2" t="s">
        <v>461</v>
      </c>
      <c r="D2604" s="4">
        <v>1.61141</v>
      </c>
      <c r="E2604" s="4">
        <v>0.66552</v>
      </c>
      <c r="F2604" s="4">
        <v>2.8729999999999999E-2</v>
      </c>
    </row>
    <row r="2605" spans="1:6" x14ac:dyDescent="0.35">
      <c r="A2605" s="2" t="s">
        <v>3222</v>
      </c>
      <c r="B2605" s="6" t="s">
        <v>3180</v>
      </c>
      <c r="C2605" s="2" t="s">
        <v>461</v>
      </c>
      <c r="D2605" s="4">
        <v>1.61141</v>
      </c>
      <c r="E2605" s="4">
        <v>0.66552</v>
      </c>
      <c r="F2605" s="4">
        <v>2.8729999999999999E-2</v>
      </c>
    </row>
    <row r="2606" spans="1:6" x14ac:dyDescent="0.35">
      <c r="A2606" s="2" t="s">
        <v>3223</v>
      </c>
      <c r="B2606" s="6" t="s">
        <v>3180</v>
      </c>
      <c r="C2606" s="2" t="s">
        <v>461</v>
      </c>
      <c r="D2606" s="4">
        <v>1.61141</v>
      </c>
      <c r="E2606" s="4">
        <v>0.66552</v>
      </c>
      <c r="F2606" s="4">
        <v>2.8729999999999999E-2</v>
      </c>
    </row>
    <row r="2607" spans="1:6" x14ac:dyDescent="0.35">
      <c r="A2607" s="2" t="s">
        <v>3224</v>
      </c>
      <c r="B2607" s="6" t="s">
        <v>3180</v>
      </c>
      <c r="C2607" s="2" t="s">
        <v>461</v>
      </c>
      <c r="D2607" s="4">
        <v>1.6048199999999999</v>
      </c>
      <c r="E2607" s="4">
        <v>0.65893000000000002</v>
      </c>
      <c r="F2607" s="4">
        <v>2.8729999999999999E-2</v>
      </c>
    </row>
    <row r="2608" spans="1:6" x14ac:dyDescent="0.35">
      <c r="A2608" s="2" t="s">
        <v>3225</v>
      </c>
      <c r="B2608" s="6" t="s">
        <v>3180</v>
      </c>
      <c r="C2608" s="2" t="s">
        <v>461</v>
      </c>
      <c r="D2608" s="4">
        <v>1.6048199999999999</v>
      </c>
      <c r="E2608" s="4">
        <v>0.65893000000000002</v>
      </c>
      <c r="F2608" s="4">
        <v>2.8729999999999999E-2</v>
      </c>
    </row>
    <row r="2609" spans="1:6" x14ac:dyDescent="0.35">
      <c r="A2609" s="2" t="s">
        <v>3226</v>
      </c>
      <c r="B2609" s="6" t="s">
        <v>3180</v>
      </c>
      <c r="C2609" s="2" t="s">
        <v>461</v>
      </c>
      <c r="D2609" s="4">
        <v>1.6048199999999999</v>
      </c>
      <c r="E2609" s="4">
        <v>0.65893000000000002</v>
      </c>
      <c r="F2609" s="4">
        <v>2.8729999999999999E-2</v>
      </c>
    </row>
    <row r="2610" spans="1:6" x14ac:dyDescent="0.35">
      <c r="A2610" s="2" t="s">
        <v>3227</v>
      </c>
      <c r="B2610" s="6" t="s">
        <v>3180</v>
      </c>
      <c r="C2610" s="2" t="s">
        <v>461</v>
      </c>
      <c r="D2610" s="4">
        <v>1.6048199999999999</v>
      </c>
      <c r="E2610" s="4">
        <v>0.65893000000000002</v>
      </c>
      <c r="F2610" s="4">
        <v>2.8729999999999999E-2</v>
      </c>
    </row>
    <row r="2611" spans="1:6" x14ac:dyDescent="0.35">
      <c r="A2611" s="2" t="s">
        <v>3228</v>
      </c>
      <c r="B2611" s="6" t="s">
        <v>3180</v>
      </c>
      <c r="C2611" s="2" t="s">
        <v>461</v>
      </c>
      <c r="D2611" s="4">
        <v>1.5981700000000001</v>
      </c>
      <c r="E2611" s="4">
        <v>0.65227999999999997</v>
      </c>
      <c r="F2611" s="4">
        <v>2.8729999999999999E-2</v>
      </c>
    </row>
    <row r="2612" spans="1:6" x14ac:dyDescent="0.35">
      <c r="A2612" s="2" t="s">
        <v>3229</v>
      </c>
      <c r="B2612" s="6" t="s">
        <v>3180</v>
      </c>
      <c r="C2612" s="2" t="s">
        <v>461</v>
      </c>
      <c r="D2612" s="4">
        <v>1.5981700000000001</v>
      </c>
      <c r="E2612" s="4">
        <v>0.65227999999999997</v>
      </c>
      <c r="F2612" s="4">
        <v>2.8729999999999999E-2</v>
      </c>
    </row>
    <row r="2613" spans="1:6" x14ac:dyDescent="0.35">
      <c r="A2613" s="2" t="s">
        <v>3230</v>
      </c>
      <c r="B2613" s="6" t="s">
        <v>3180</v>
      </c>
      <c r="C2613" s="2" t="s">
        <v>461</v>
      </c>
      <c r="D2613" s="4">
        <v>1.5981700000000001</v>
      </c>
      <c r="E2613" s="4">
        <v>0.65227999999999997</v>
      </c>
      <c r="F2613" s="4">
        <v>2.8729999999999999E-2</v>
      </c>
    </row>
    <row r="2614" spans="1:6" x14ac:dyDescent="0.35">
      <c r="A2614" s="2" t="s">
        <v>3231</v>
      </c>
      <c r="B2614" s="6" t="s">
        <v>3180</v>
      </c>
      <c r="C2614" s="2" t="s">
        <v>461</v>
      </c>
      <c r="D2614" s="4">
        <v>1.5981700000000001</v>
      </c>
      <c r="E2614" s="4">
        <v>0.65227999999999997</v>
      </c>
      <c r="F2614" s="4">
        <v>2.8729999999999999E-2</v>
      </c>
    </row>
    <row r="2615" spans="1:6" x14ac:dyDescent="0.35">
      <c r="A2615" s="2" t="s">
        <v>3232</v>
      </c>
      <c r="B2615" s="6" t="s">
        <v>3180</v>
      </c>
      <c r="C2615" s="2" t="s">
        <v>461</v>
      </c>
      <c r="D2615" s="4">
        <v>1.5981700000000001</v>
      </c>
      <c r="E2615" s="4">
        <v>0.65227999999999997</v>
      </c>
      <c r="F2615" s="4">
        <v>2.8729999999999999E-2</v>
      </c>
    </row>
    <row r="2616" spans="1:6" x14ac:dyDescent="0.35">
      <c r="A2616" s="2" t="s">
        <v>3233</v>
      </c>
      <c r="B2616" s="6" t="s">
        <v>3180</v>
      </c>
      <c r="C2616" s="2" t="s">
        <v>461</v>
      </c>
      <c r="D2616" s="4">
        <v>1.5981700000000001</v>
      </c>
      <c r="E2616" s="4">
        <v>0.65227999999999997</v>
      </c>
      <c r="F2616" s="4">
        <v>2.8729999999999999E-2</v>
      </c>
    </row>
    <row r="2617" spans="1:6" x14ac:dyDescent="0.35">
      <c r="A2617" s="2" t="s">
        <v>3234</v>
      </c>
      <c r="B2617" s="6" t="s">
        <v>3180</v>
      </c>
      <c r="C2617" s="2" t="s">
        <v>461</v>
      </c>
      <c r="D2617" s="4">
        <v>1.5981700000000001</v>
      </c>
      <c r="E2617" s="4">
        <v>0.65227999999999997</v>
      </c>
      <c r="F2617" s="4">
        <v>2.8729999999999999E-2</v>
      </c>
    </row>
    <row r="2618" spans="1:6" x14ac:dyDescent="0.35">
      <c r="A2618" s="2" t="s">
        <v>3235</v>
      </c>
      <c r="B2618" s="6" t="s">
        <v>3180</v>
      </c>
      <c r="C2618" s="2" t="s">
        <v>461</v>
      </c>
      <c r="D2618" s="4">
        <v>1.5981700000000001</v>
      </c>
      <c r="E2618" s="4">
        <v>0.65227999999999997</v>
      </c>
      <c r="F2618" s="4">
        <v>2.8729999999999999E-2</v>
      </c>
    </row>
    <row r="2619" spans="1:6" x14ac:dyDescent="0.35">
      <c r="A2619" s="2" t="s">
        <v>3236</v>
      </c>
      <c r="B2619" s="6" t="s">
        <v>3180</v>
      </c>
      <c r="C2619" s="2" t="s">
        <v>461</v>
      </c>
      <c r="D2619" s="4">
        <v>1.5981700000000001</v>
      </c>
      <c r="E2619" s="4">
        <v>0.65227999999999997</v>
      </c>
      <c r="F2619" s="4">
        <v>2.8729999999999999E-2</v>
      </c>
    </row>
    <row r="2620" spans="1:6" x14ac:dyDescent="0.35">
      <c r="A2620" s="2" t="s">
        <v>3237</v>
      </c>
      <c r="B2620" s="6" t="s">
        <v>3180</v>
      </c>
      <c r="C2620" s="2" t="s">
        <v>461</v>
      </c>
      <c r="D2620" s="4">
        <v>1.5981700000000001</v>
      </c>
      <c r="E2620" s="4">
        <v>0.65227999999999997</v>
      </c>
      <c r="F2620" s="4">
        <v>2.8729999999999999E-2</v>
      </c>
    </row>
    <row r="2621" spans="1:6" x14ac:dyDescent="0.35">
      <c r="A2621" s="2" t="s">
        <v>3238</v>
      </c>
      <c r="B2621" s="6" t="s">
        <v>3180</v>
      </c>
      <c r="C2621" s="2" t="s">
        <v>461</v>
      </c>
      <c r="D2621" s="4">
        <v>1.5981700000000001</v>
      </c>
      <c r="E2621" s="4">
        <v>0.65227999999999997</v>
      </c>
      <c r="F2621" s="4">
        <v>2.8729999999999999E-2</v>
      </c>
    </row>
    <row r="2622" spans="1:6" x14ac:dyDescent="0.35">
      <c r="A2622" s="2" t="s">
        <v>3239</v>
      </c>
      <c r="B2622" s="6" t="s">
        <v>3180</v>
      </c>
      <c r="C2622" s="2" t="s">
        <v>461</v>
      </c>
      <c r="D2622" s="4">
        <v>1.5981700000000001</v>
      </c>
      <c r="E2622" s="4">
        <v>0.65227999999999997</v>
      </c>
      <c r="F2622" s="4">
        <v>2.8729999999999999E-2</v>
      </c>
    </row>
    <row r="2623" spans="1:6" x14ac:dyDescent="0.35">
      <c r="A2623" s="2" t="s">
        <v>3240</v>
      </c>
      <c r="B2623" s="6" t="s">
        <v>3180</v>
      </c>
      <c r="C2623" s="2" t="s">
        <v>461</v>
      </c>
      <c r="D2623" s="4">
        <v>1.5981700000000001</v>
      </c>
      <c r="E2623" s="4">
        <v>0.65227999999999997</v>
      </c>
      <c r="F2623" s="4">
        <v>2.8729999999999999E-2</v>
      </c>
    </row>
    <row r="2624" spans="1:6" x14ac:dyDescent="0.35">
      <c r="A2624" s="2" t="s">
        <v>3241</v>
      </c>
      <c r="B2624" s="6" t="s">
        <v>3180</v>
      </c>
      <c r="C2624" s="2" t="s">
        <v>461</v>
      </c>
      <c r="D2624" s="4">
        <v>1.5981700000000001</v>
      </c>
      <c r="E2624" s="4">
        <v>0.65227999999999997</v>
      </c>
      <c r="F2624" s="4">
        <v>2.8729999999999999E-2</v>
      </c>
    </row>
    <row r="2625" spans="1:6" x14ac:dyDescent="0.35">
      <c r="A2625" s="2" t="s">
        <v>3242</v>
      </c>
      <c r="B2625" s="6" t="s">
        <v>3180</v>
      </c>
      <c r="C2625" s="2" t="s">
        <v>461</v>
      </c>
      <c r="D2625" s="4">
        <v>1.8115300000000001</v>
      </c>
      <c r="E2625" s="4">
        <v>0.93871000000000004</v>
      </c>
      <c r="F2625" s="4">
        <v>2.8340000000000001E-2</v>
      </c>
    </row>
    <row r="2626" spans="1:6" x14ac:dyDescent="0.35">
      <c r="A2626" s="2" t="s">
        <v>3243</v>
      </c>
      <c r="B2626" s="6" t="s">
        <v>3180</v>
      </c>
      <c r="C2626" s="2" t="s">
        <v>461</v>
      </c>
      <c r="D2626" s="4">
        <v>1.61141</v>
      </c>
      <c r="E2626" s="4">
        <v>0.66552</v>
      </c>
      <c r="F2626" s="4">
        <v>2.8729999999999999E-2</v>
      </c>
    </row>
    <row r="2627" spans="1:6" x14ac:dyDescent="0.35">
      <c r="A2627" s="2" t="s">
        <v>3244</v>
      </c>
      <c r="B2627" s="6" t="s">
        <v>3180</v>
      </c>
      <c r="C2627" s="2" t="s">
        <v>461</v>
      </c>
      <c r="D2627" s="4">
        <v>1.61141</v>
      </c>
      <c r="E2627" s="4">
        <v>0.66552</v>
      </c>
      <c r="F2627" s="4">
        <v>2.8729999999999999E-2</v>
      </c>
    </row>
    <row r="2628" spans="1:6" x14ac:dyDescent="0.35">
      <c r="A2628" s="2" t="s">
        <v>3245</v>
      </c>
      <c r="B2628" s="6" t="s">
        <v>3180</v>
      </c>
      <c r="C2628" s="2" t="s">
        <v>461</v>
      </c>
      <c r="D2628" s="4">
        <v>1.61141</v>
      </c>
      <c r="E2628" s="4">
        <v>0.66552</v>
      </c>
      <c r="F2628" s="4">
        <v>2.8729999999999999E-2</v>
      </c>
    </row>
    <row r="2629" spans="1:6" x14ac:dyDescent="0.35">
      <c r="A2629" s="2" t="s">
        <v>3246</v>
      </c>
      <c r="B2629" s="6" t="s">
        <v>3180</v>
      </c>
      <c r="C2629" s="2" t="s">
        <v>461</v>
      </c>
      <c r="D2629" s="4">
        <v>1.6498200000000001</v>
      </c>
      <c r="E2629" s="4">
        <v>0.68042999999999998</v>
      </c>
      <c r="F2629" s="4">
        <v>2.9680000000000002E-2</v>
      </c>
    </row>
    <row r="2630" spans="1:6" x14ac:dyDescent="0.35">
      <c r="A2630" s="2" t="s">
        <v>3247</v>
      </c>
      <c r="B2630" s="6" t="s">
        <v>3180</v>
      </c>
      <c r="C2630" s="2" t="s">
        <v>461</v>
      </c>
      <c r="D2630" s="4">
        <v>1.6048199999999999</v>
      </c>
      <c r="E2630" s="4">
        <v>0.65893000000000002</v>
      </c>
      <c r="F2630" s="4">
        <v>2.8729999999999999E-2</v>
      </c>
    </row>
    <row r="2631" spans="1:6" x14ac:dyDescent="0.35">
      <c r="A2631" s="2" t="s">
        <v>3248</v>
      </c>
      <c r="B2631" s="6" t="s">
        <v>3180</v>
      </c>
      <c r="C2631" s="2" t="s">
        <v>461</v>
      </c>
      <c r="D2631" s="4">
        <v>1.6048199999999999</v>
      </c>
      <c r="E2631" s="4">
        <v>0.65893000000000002</v>
      </c>
      <c r="F2631" s="4">
        <v>2.8729999999999999E-2</v>
      </c>
    </row>
    <row r="2632" spans="1:6" x14ac:dyDescent="0.35">
      <c r="A2632" s="2" t="s">
        <v>3249</v>
      </c>
      <c r="B2632" s="6" t="s">
        <v>3180</v>
      </c>
      <c r="C2632" s="2" t="s">
        <v>461</v>
      </c>
      <c r="D2632" s="4">
        <v>1.6048199999999999</v>
      </c>
      <c r="E2632" s="4">
        <v>0.65893000000000002</v>
      </c>
      <c r="F2632" s="4">
        <v>2.8729999999999999E-2</v>
      </c>
    </row>
    <row r="2633" spans="1:6" x14ac:dyDescent="0.35">
      <c r="A2633" s="2" t="s">
        <v>3250</v>
      </c>
      <c r="B2633" s="6" t="s">
        <v>3180</v>
      </c>
      <c r="C2633" s="2" t="s">
        <v>461</v>
      </c>
      <c r="D2633" s="4">
        <v>1.6048199999999999</v>
      </c>
      <c r="E2633" s="4">
        <v>0.65893000000000002</v>
      </c>
      <c r="F2633" s="4">
        <v>2.8729999999999999E-2</v>
      </c>
    </row>
    <row r="2634" spans="1:6" x14ac:dyDescent="0.35">
      <c r="A2634" s="2" t="s">
        <v>3251</v>
      </c>
      <c r="B2634" s="6" t="s">
        <v>3180</v>
      </c>
      <c r="C2634" s="2" t="s">
        <v>461</v>
      </c>
      <c r="D2634" s="4">
        <v>1.6048199999999999</v>
      </c>
      <c r="E2634" s="4">
        <v>0.65893000000000002</v>
      </c>
      <c r="F2634" s="4">
        <v>2.8729999999999999E-2</v>
      </c>
    </row>
    <row r="2635" spans="1:6" x14ac:dyDescent="0.35">
      <c r="A2635" s="2" t="s">
        <v>3252</v>
      </c>
      <c r="B2635" s="6" t="s">
        <v>3180</v>
      </c>
      <c r="C2635" s="2" t="s">
        <v>461</v>
      </c>
      <c r="D2635" s="4">
        <v>1.77121</v>
      </c>
      <c r="E2635" s="4">
        <v>0.91215000000000002</v>
      </c>
      <c r="F2635" s="4">
        <v>2.8389999999999999E-2</v>
      </c>
    </row>
    <row r="2636" spans="1:6" x14ac:dyDescent="0.35">
      <c r="A2636" s="2" t="s">
        <v>3253</v>
      </c>
      <c r="B2636" s="6" t="s">
        <v>3180</v>
      </c>
      <c r="C2636" s="2" t="s">
        <v>461</v>
      </c>
      <c r="D2636" s="4">
        <v>1.77121</v>
      </c>
      <c r="E2636" s="4">
        <v>0.91215000000000002</v>
      </c>
      <c r="F2636" s="4">
        <v>2.8389999999999999E-2</v>
      </c>
    </row>
    <row r="2637" spans="1:6" x14ac:dyDescent="0.35">
      <c r="A2637" s="2" t="s">
        <v>3254</v>
      </c>
      <c r="B2637" s="6" t="s">
        <v>3180</v>
      </c>
      <c r="C2637" s="2" t="s">
        <v>461</v>
      </c>
      <c r="D2637" s="4">
        <v>1.77207</v>
      </c>
      <c r="E2637" s="4">
        <v>0.91202000000000005</v>
      </c>
      <c r="F2637" s="4">
        <v>2.938E-2</v>
      </c>
    </row>
    <row r="2638" spans="1:6" x14ac:dyDescent="0.35">
      <c r="A2638" s="2" t="s">
        <v>3255</v>
      </c>
      <c r="B2638" s="6" t="s">
        <v>3180</v>
      </c>
      <c r="C2638" s="2" t="s">
        <v>461</v>
      </c>
      <c r="D2638" s="4">
        <v>1.77207</v>
      </c>
      <c r="E2638" s="4">
        <v>0.91202000000000005</v>
      </c>
      <c r="F2638" s="4">
        <v>2.938E-2</v>
      </c>
    </row>
    <row r="2639" spans="1:6" x14ac:dyDescent="0.35">
      <c r="A2639" s="2" t="s">
        <v>3256</v>
      </c>
      <c r="B2639" s="6" t="s">
        <v>3180</v>
      </c>
      <c r="C2639" s="2" t="s">
        <v>461</v>
      </c>
      <c r="D2639" s="4">
        <v>1.77121</v>
      </c>
      <c r="E2639" s="4">
        <v>0.91215000000000002</v>
      </c>
      <c r="F2639" s="4">
        <v>2.8389999999999999E-2</v>
      </c>
    </row>
    <row r="2640" spans="1:6" x14ac:dyDescent="0.35">
      <c r="A2640" s="2" t="s">
        <v>3257</v>
      </c>
      <c r="B2640" s="6" t="s">
        <v>3180</v>
      </c>
      <c r="C2640" s="2" t="s">
        <v>461</v>
      </c>
      <c r="D2640" s="4">
        <v>1.77121</v>
      </c>
      <c r="E2640" s="4">
        <v>0.91215000000000002</v>
      </c>
      <c r="F2640" s="4">
        <v>2.8389999999999999E-2</v>
      </c>
    </row>
    <row r="2641" spans="1:6" x14ac:dyDescent="0.35">
      <c r="A2641" s="2" t="s">
        <v>3258</v>
      </c>
      <c r="B2641" s="6" t="s">
        <v>3180</v>
      </c>
      <c r="C2641" s="2" t="s">
        <v>461</v>
      </c>
      <c r="D2641" s="4">
        <v>1.77121</v>
      </c>
      <c r="E2641" s="4">
        <v>0.91215000000000002</v>
      </c>
      <c r="F2641" s="4">
        <v>2.8389999999999999E-2</v>
      </c>
    </row>
    <row r="2642" spans="1:6" x14ac:dyDescent="0.35">
      <c r="A2642" s="2" t="s">
        <v>3259</v>
      </c>
      <c r="B2642" s="6" t="s">
        <v>3180</v>
      </c>
      <c r="C2642" s="2" t="s">
        <v>461</v>
      </c>
      <c r="D2642" s="4">
        <v>1.77121</v>
      </c>
      <c r="E2642" s="4">
        <v>0.91215000000000002</v>
      </c>
      <c r="F2642" s="4">
        <v>2.8389999999999999E-2</v>
      </c>
    </row>
    <row r="2643" spans="1:6" x14ac:dyDescent="0.35">
      <c r="A2643" s="2" t="s">
        <v>3260</v>
      </c>
      <c r="B2643" s="6" t="s">
        <v>3180</v>
      </c>
      <c r="C2643" s="2" t="s">
        <v>461</v>
      </c>
      <c r="D2643" s="4">
        <v>1.77121</v>
      </c>
      <c r="E2643" s="4">
        <v>0.91215000000000002</v>
      </c>
      <c r="F2643" s="4">
        <v>2.8389999999999999E-2</v>
      </c>
    </row>
    <row r="2644" spans="1:6" x14ac:dyDescent="0.35">
      <c r="A2644" s="2" t="s">
        <v>3261</v>
      </c>
      <c r="B2644" s="6" t="s">
        <v>3180</v>
      </c>
      <c r="C2644" s="2" t="s">
        <v>461</v>
      </c>
      <c r="D2644" s="4">
        <v>1.8217699999999999</v>
      </c>
      <c r="E2644" s="4">
        <v>0.94211</v>
      </c>
      <c r="F2644" s="4">
        <v>2.9329999999999998E-2</v>
      </c>
    </row>
    <row r="2645" spans="1:6" x14ac:dyDescent="0.35">
      <c r="A2645" s="2" t="s">
        <v>3262</v>
      </c>
      <c r="B2645" s="6" t="s">
        <v>3180</v>
      </c>
      <c r="C2645" s="2" t="s">
        <v>461</v>
      </c>
      <c r="D2645" s="4">
        <v>1.77121</v>
      </c>
      <c r="E2645" s="4">
        <v>0.91215000000000002</v>
      </c>
      <c r="F2645" s="4">
        <v>2.8389999999999999E-2</v>
      </c>
    </row>
    <row r="2646" spans="1:6" x14ac:dyDescent="0.35">
      <c r="A2646" s="2" t="s">
        <v>3263</v>
      </c>
      <c r="B2646" s="6" t="s">
        <v>3180</v>
      </c>
      <c r="C2646" s="2" t="s">
        <v>461</v>
      </c>
      <c r="D2646" s="4">
        <v>1.8217699999999999</v>
      </c>
      <c r="E2646" s="4">
        <v>0.94211</v>
      </c>
      <c r="F2646" s="4">
        <v>2.9329999999999998E-2</v>
      </c>
    </row>
    <row r="2647" spans="1:6" x14ac:dyDescent="0.35">
      <c r="A2647" s="2" t="s">
        <v>3264</v>
      </c>
      <c r="B2647" s="6" t="e">
        <v>#N/A</v>
      </c>
      <c r="C2647" s="2" t="e">
        <v>#N/A</v>
      </c>
      <c r="D2647" s="4">
        <v>1.8217699999999999</v>
      </c>
      <c r="E2647" s="4">
        <v>0.94211</v>
      </c>
      <c r="F2647" s="4">
        <v>2.9329999999999998E-2</v>
      </c>
    </row>
    <row r="2648" spans="1:6" x14ac:dyDescent="0.35">
      <c r="A2648" s="2" t="s">
        <v>3265</v>
      </c>
      <c r="B2648" s="6" t="s">
        <v>3180</v>
      </c>
      <c r="C2648" s="2" t="s">
        <v>461</v>
      </c>
      <c r="D2648" s="4">
        <v>1.77207</v>
      </c>
      <c r="E2648" s="4">
        <v>0.91202000000000005</v>
      </c>
      <c r="F2648" s="4">
        <v>2.938E-2</v>
      </c>
    </row>
    <row r="2649" spans="1:6" x14ac:dyDescent="0.35">
      <c r="A2649" s="2" t="s">
        <v>3266</v>
      </c>
      <c r="B2649" s="6" t="s">
        <v>3180</v>
      </c>
      <c r="C2649" s="2" t="s">
        <v>461</v>
      </c>
      <c r="D2649" s="4">
        <v>1.77207</v>
      </c>
      <c r="E2649" s="4">
        <v>0.91202000000000005</v>
      </c>
      <c r="F2649" s="4">
        <v>2.938E-2</v>
      </c>
    </row>
    <row r="2650" spans="1:6" x14ac:dyDescent="0.35">
      <c r="A2650" s="2" t="s">
        <v>3267</v>
      </c>
      <c r="B2650" s="6" t="s">
        <v>3180</v>
      </c>
      <c r="C2650" s="2" t="s">
        <v>461</v>
      </c>
      <c r="D2650" s="4">
        <v>1.77207</v>
      </c>
      <c r="E2650" s="4">
        <v>0.91202000000000005</v>
      </c>
      <c r="F2650" s="4">
        <v>2.938E-2</v>
      </c>
    </row>
    <row r="2651" spans="1:6" x14ac:dyDescent="0.35">
      <c r="A2651" s="2" t="s">
        <v>3268</v>
      </c>
      <c r="B2651" s="6" t="s">
        <v>3180</v>
      </c>
      <c r="C2651" s="2" t="s">
        <v>461</v>
      </c>
      <c r="D2651" s="4">
        <v>1.77207</v>
      </c>
      <c r="E2651" s="4">
        <v>0.91202000000000005</v>
      </c>
      <c r="F2651" s="4">
        <v>2.938E-2</v>
      </c>
    </row>
    <row r="2652" spans="1:6" x14ac:dyDescent="0.35">
      <c r="A2652" s="2" t="s">
        <v>3269</v>
      </c>
      <c r="B2652" s="6" t="e">
        <v>#N/A</v>
      </c>
      <c r="C2652" s="2" t="e">
        <v>#N/A</v>
      </c>
      <c r="D2652" s="4">
        <v>1.82263</v>
      </c>
      <c r="E2652" s="4">
        <v>0.94198000000000004</v>
      </c>
      <c r="F2652" s="4">
        <v>3.032E-2</v>
      </c>
    </row>
    <row r="2653" spans="1:6" x14ac:dyDescent="0.35">
      <c r="A2653" s="2" t="s">
        <v>3270</v>
      </c>
      <c r="B2653" s="6" t="s">
        <v>3180</v>
      </c>
      <c r="C2653" s="2" t="s">
        <v>461</v>
      </c>
      <c r="D2653" s="4">
        <v>1.8217699999999999</v>
      </c>
      <c r="E2653" s="4">
        <v>0.94211</v>
      </c>
      <c r="F2653" s="4">
        <v>2.9329999999999998E-2</v>
      </c>
    </row>
    <row r="2654" spans="1:6" x14ac:dyDescent="0.35">
      <c r="A2654" s="2" t="s">
        <v>3271</v>
      </c>
      <c r="B2654" s="6" t="s">
        <v>3180</v>
      </c>
      <c r="C2654" s="2" t="s">
        <v>461</v>
      </c>
      <c r="D2654" s="4">
        <v>1.8217699999999999</v>
      </c>
      <c r="E2654" s="4">
        <v>0.94211</v>
      </c>
      <c r="F2654" s="4">
        <v>2.9329999999999998E-2</v>
      </c>
    </row>
    <row r="2655" spans="1:6" x14ac:dyDescent="0.35">
      <c r="A2655" s="2" t="s">
        <v>3272</v>
      </c>
      <c r="B2655" s="6" t="s">
        <v>3180</v>
      </c>
      <c r="C2655" s="2" t="s">
        <v>461</v>
      </c>
      <c r="D2655" s="4">
        <v>1.77121</v>
      </c>
      <c r="E2655" s="4">
        <v>0.91215000000000002</v>
      </c>
      <c r="F2655" s="4">
        <v>2.8389999999999999E-2</v>
      </c>
    </row>
    <row r="2656" spans="1:6" x14ac:dyDescent="0.35">
      <c r="A2656" s="2" t="s">
        <v>3273</v>
      </c>
      <c r="B2656" s="6" t="s">
        <v>3180</v>
      </c>
      <c r="C2656" s="2" t="s">
        <v>461</v>
      </c>
      <c r="D2656" s="4">
        <v>1.77207</v>
      </c>
      <c r="E2656" s="4">
        <v>0.91202000000000005</v>
      </c>
      <c r="F2656" s="4">
        <v>2.938E-2</v>
      </c>
    </row>
    <row r="2657" spans="1:6" x14ac:dyDescent="0.35">
      <c r="A2657" s="2" t="s">
        <v>3274</v>
      </c>
      <c r="B2657" s="6" t="e">
        <v>#N/A</v>
      </c>
      <c r="C2657" s="2" t="e">
        <v>#N/A</v>
      </c>
      <c r="D2657" s="4">
        <v>1.8217699999999999</v>
      </c>
      <c r="E2657" s="4">
        <v>0.94211</v>
      </c>
      <c r="F2657" s="4">
        <v>2.9329999999999998E-2</v>
      </c>
    </row>
    <row r="2658" spans="1:6" x14ac:dyDescent="0.35">
      <c r="A2658" s="2" t="s">
        <v>3275</v>
      </c>
      <c r="B2658" s="6" t="s">
        <v>3180</v>
      </c>
      <c r="C2658" s="2" t="s">
        <v>461</v>
      </c>
      <c r="D2658" s="4">
        <v>1.8217699999999999</v>
      </c>
      <c r="E2658" s="4">
        <v>0.94211</v>
      </c>
      <c r="F2658" s="4">
        <v>2.9329999999999998E-2</v>
      </c>
    </row>
    <row r="2659" spans="1:6" x14ac:dyDescent="0.35">
      <c r="A2659" s="2" t="s">
        <v>3276</v>
      </c>
      <c r="B2659" s="6" t="s">
        <v>3180</v>
      </c>
      <c r="C2659" s="2" t="s">
        <v>461</v>
      </c>
      <c r="D2659" s="4">
        <v>1.77121</v>
      </c>
      <c r="E2659" s="4">
        <v>0.91215000000000002</v>
      </c>
      <c r="F2659" s="4">
        <v>2.8389999999999999E-2</v>
      </c>
    </row>
    <row r="2660" spans="1:6" x14ac:dyDescent="0.35">
      <c r="A2660" s="2" t="s">
        <v>3277</v>
      </c>
      <c r="B2660" s="6" t="s">
        <v>3180</v>
      </c>
      <c r="C2660" s="2" t="s">
        <v>461</v>
      </c>
      <c r="D2660" s="4">
        <v>1.6467000000000001</v>
      </c>
      <c r="E2660" s="4">
        <v>0.81557000000000002</v>
      </c>
      <c r="F2660" s="4">
        <v>2.581E-2</v>
      </c>
    </row>
    <row r="2661" spans="1:6" x14ac:dyDescent="0.35">
      <c r="A2661" s="2" t="s">
        <v>3278</v>
      </c>
      <c r="B2661" s="6" t="s">
        <v>3180</v>
      </c>
      <c r="C2661" s="2" t="s">
        <v>461</v>
      </c>
      <c r="D2661" s="4">
        <v>1.6526799999999999</v>
      </c>
      <c r="E2661" s="4">
        <v>0.81979999999999997</v>
      </c>
      <c r="F2661" s="4">
        <v>2.494E-2</v>
      </c>
    </row>
    <row r="2662" spans="1:6" x14ac:dyDescent="0.35">
      <c r="A2662" s="2" t="s">
        <v>3279</v>
      </c>
      <c r="B2662" s="6" t="s">
        <v>3180</v>
      </c>
      <c r="C2662" s="2" t="s">
        <v>461</v>
      </c>
      <c r="D2662" s="4">
        <v>1.6874100000000001</v>
      </c>
      <c r="E2662" s="4">
        <v>0.83479000000000003</v>
      </c>
      <c r="F2662" s="4">
        <v>2.5770000000000001E-2</v>
      </c>
    </row>
    <row r="2663" spans="1:6" x14ac:dyDescent="0.35">
      <c r="A2663" s="2" t="s">
        <v>3280</v>
      </c>
      <c r="B2663" s="6" t="s">
        <v>3180</v>
      </c>
      <c r="C2663" s="2" t="s">
        <v>461</v>
      </c>
      <c r="D2663" s="4">
        <v>1.6526799999999999</v>
      </c>
      <c r="E2663" s="4">
        <v>0.81979999999999997</v>
      </c>
      <c r="F2663" s="4">
        <v>2.494E-2</v>
      </c>
    </row>
    <row r="2664" spans="1:6" x14ac:dyDescent="0.35">
      <c r="A2664" s="2" t="s">
        <v>3281</v>
      </c>
      <c r="B2664" s="6" t="s">
        <v>3180</v>
      </c>
      <c r="C2664" s="2" t="s">
        <v>461</v>
      </c>
      <c r="D2664" s="4">
        <v>1.9554800000000001</v>
      </c>
      <c r="E2664" s="4">
        <v>1.07294</v>
      </c>
      <c r="F2664" s="4">
        <v>3.1859999999999999E-2</v>
      </c>
    </row>
    <row r="2665" spans="1:6" x14ac:dyDescent="0.35">
      <c r="A2665" s="2" t="s">
        <v>3282</v>
      </c>
      <c r="B2665" s="6" t="s">
        <v>3180</v>
      </c>
      <c r="C2665" s="2" t="s">
        <v>461</v>
      </c>
      <c r="D2665" s="4">
        <v>1.95462</v>
      </c>
      <c r="E2665" s="4">
        <v>1.07307</v>
      </c>
      <c r="F2665" s="4">
        <v>3.0870000000000002E-2</v>
      </c>
    </row>
    <row r="2666" spans="1:6" x14ac:dyDescent="0.35">
      <c r="A2666" s="2" t="s">
        <v>3283</v>
      </c>
      <c r="B2666" s="6" t="s">
        <v>3180</v>
      </c>
      <c r="C2666" s="2" t="s">
        <v>461</v>
      </c>
      <c r="D2666" s="4">
        <v>1.94147</v>
      </c>
      <c r="E2666" s="4">
        <v>1.07887</v>
      </c>
      <c r="F2666" s="4">
        <v>3.024E-2</v>
      </c>
    </row>
    <row r="2667" spans="1:6" x14ac:dyDescent="0.35">
      <c r="A2667" s="2" t="s">
        <v>3284</v>
      </c>
      <c r="B2667" s="6" t="e">
        <v>#N/A</v>
      </c>
      <c r="C2667" s="2" t="e">
        <v>#N/A</v>
      </c>
      <c r="D2667" s="4">
        <v>26.84</v>
      </c>
      <c r="E2667" s="4">
        <v>26.84</v>
      </c>
    </row>
    <row r="2668" spans="1:6" x14ac:dyDescent="0.35">
      <c r="A2668" s="2" t="s">
        <v>3285</v>
      </c>
      <c r="B2668" s="6" t="e">
        <v>#N/A</v>
      </c>
      <c r="C2668" s="2" t="e">
        <v>#N/A</v>
      </c>
      <c r="D2668" s="4">
        <v>5963.7475199999999</v>
      </c>
      <c r="E2668" s="4">
        <v>5963.7475199999999</v>
      </c>
      <c r="F2668" s="4">
        <v>0</v>
      </c>
    </row>
    <row r="2669" spans="1:6" x14ac:dyDescent="0.35">
      <c r="A2669" s="2" t="s">
        <v>3286</v>
      </c>
      <c r="B2669" s="6" t="e">
        <v>#N/A</v>
      </c>
      <c r="C2669" s="2" t="e">
        <v>#N/A</v>
      </c>
      <c r="D2669" s="4">
        <v>5963.7475199999999</v>
      </c>
      <c r="E2669" s="4">
        <v>5963.7475199999999</v>
      </c>
    </row>
    <row r="2670" spans="1:6" x14ac:dyDescent="0.35">
      <c r="A2670" s="2" t="s">
        <v>3287</v>
      </c>
      <c r="B2670" s="6" t="e">
        <v>#N/A</v>
      </c>
      <c r="C2670" s="2" t="e">
        <v>#N/A</v>
      </c>
      <c r="D2670" s="4">
        <v>5963.7546000000002</v>
      </c>
      <c r="E2670" s="4">
        <v>5963.7546000000002</v>
      </c>
    </row>
    <row r="2671" spans="1:6" x14ac:dyDescent="0.35">
      <c r="A2671" s="2" t="s">
        <v>3288</v>
      </c>
      <c r="B2671" s="6" t="e">
        <v>#N/A</v>
      </c>
      <c r="C2671" s="2" t="e">
        <v>#N/A</v>
      </c>
      <c r="D2671" s="4">
        <v>158.88</v>
      </c>
      <c r="E2671" s="4">
        <v>158.88</v>
      </c>
    </row>
    <row r="2672" spans="1:6" x14ac:dyDescent="0.35">
      <c r="A2672" s="2" t="s">
        <v>3289</v>
      </c>
      <c r="B2672" s="6" t="e">
        <v>#N/A</v>
      </c>
      <c r="C2672" s="2" t="e">
        <v>#N/A</v>
      </c>
      <c r="D2672" s="4">
        <v>142.19</v>
      </c>
      <c r="E2672" s="4">
        <v>142.19</v>
      </c>
    </row>
    <row r="2673" spans="1:5" x14ac:dyDescent="0.35">
      <c r="A2673" s="2" t="s">
        <v>3290</v>
      </c>
      <c r="B2673" s="6" t="e">
        <v>#N/A</v>
      </c>
      <c r="C2673" s="2" t="e">
        <v>#N/A</v>
      </c>
      <c r="D2673" s="4">
        <v>111.22</v>
      </c>
      <c r="E2673" s="4">
        <v>111.22</v>
      </c>
    </row>
    <row r="2674" spans="1:5" x14ac:dyDescent="0.35">
      <c r="A2674" s="2" t="s">
        <v>3291</v>
      </c>
      <c r="B2674" s="6" t="e">
        <v>#N/A</v>
      </c>
      <c r="C2674" s="2" t="e">
        <v>#N/A</v>
      </c>
      <c r="D2674" s="4">
        <v>68.13</v>
      </c>
      <c r="E2674" s="4">
        <v>68.13</v>
      </c>
    </row>
    <row r="2675" spans="1:5" x14ac:dyDescent="0.35">
      <c r="A2675" s="2" t="s">
        <v>3292</v>
      </c>
      <c r="B2675" s="6" t="e">
        <v>#N/A</v>
      </c>
      <c r="C2675" s="2" t="e">
        <v>#N/A</v>
      </c>
      <c r="D2675" s="4">
        <v>6275.28</v>
      </c>
      <c r="E2675" s="4">
        <v>6275.28</v>
      </c>
    </row>
    <row r="2676" spans="1:5" x14ac:dyDescent="0.35">
      <c r="A2676" s="2" t="s">
        <v>3293</v>
      </c>
      <c r="B2676" s="6" t="e">
        <v>#N/A</v>
      </c>
      <c r="C2676" s="2" t="e">
        <v>#N/A</v>
      </c>
      <c r="D2676" s="4">
        <v>6275.28</v>
      </c>
      <c r="E2676" s="4">
        <v>6275.28</v>
      </c>
    </row>
    <row r="2677" spans="1:5" x14ac:dyDescent="0.35">
      <c r="A2677" s="2" t="s">
        <v>3294</v>
      </c>
      <c r="B2677" s="6" t="e">
        <v>#N/A</v>
      </c>
      <c r="C2677" s="2" t="e">
        <v>#N/A</v>
      </c>
      <c r="D2677" s="4">
        <v>4016.65</v>
      </c>
      <c r="E2677" s="4">
        <v>4016.65</v>
      </c>
    </row>
    <row r="2678" spans="1:5" x14ac:dyDescent="0.35">
      <c r="A2678" s="2" t="s">
        <v>3295</v>
      </c>
      <c r="B2678" s="6" t="e">
        <v>#N/A</v>
      </c>
      <c r="C2678" s="2" t="e">
        <v>#N/A</v>
      </c>
      <c r="D2678" s="4">
        <v>2057.1999999999998</v>
      </c>
      <c r="E2678" s="4">
        <v>2057.1999999999998</v>
      </c>
    </row>
    <row r="2679" spans="1:5" x14ac:dyDescent="0.35">
      <c r="A2679" s="2" t="s">
        <v>3296</v>
      </c>
      <c r="B2679" s="6" t="e">
        <v>#N/A</v>
      </c>
      <c r="C2679" s="2" t="e">
        <v>#N/A</v>
      </c>
      <c r="D2679" s="4">
        <v>547.65</v>
      </c>
      <c r="E2679" s="4">
        <v>547.65</v>
      </c>
    </row>
    <row r="2680" spans="1:5" x14ac:dyDescent="0.35">
      <c r="A2680" s="2" t="s">
        <v>3297</v>
      </c>
      <c r="B2680" s="6" t="e">
        <v>#N/A</v>
      </c>
      <c r="C2680" s="2" t="e">
        <v>#N/A</v>
      </c>
      <c r="D2680" s="4">
        <v>1231.8499999999999</v>
      </c>
      <c r="E2680" s="4">
        <v>1231.8499999999999</v>
      </c>
    </row>
    <row r="2681" spans="1:5" x14ac:dyDescent="0.35">
      <c r="A2681" s="2" t="s">
        <v>3298</v>
      </c>
      <c r="B2681" s="6" t="e">
        <v>#N/A</v>
      </c>
      <c r="C2681" s="2" t="e">
        <v>#N/A</v>
      </c>
      <c r="D2681" s="4">
        <v>72.69</v>
      </c>
      <c r="E2681" s="4">
        <v>72.69</v>
      </c>
    </row>
    <row r="2682" spans="1:5" x14ac:dyDescent="0.35">
      <c r="A2682" s="2" t="s">
        <v>3299</v>
      </c>
      <c r="B2682" s="6" t="e">
        <v>#N/A</v>
      </c>
      <c r="C2682" s="2" t="e">
        <v>#N/A</v>
      </c>
      <c r="D2682" s="4">
        <v>1095.3834999999999</v>
      </c>
      <c r="E2682" s="4">
        <v>1095.3834999999999</v>
      </c>
    </row>
    <row r="2683" spans="1:5" x14ac:dyDescent="0.35">
      <c r="A2683" s="2" t="s">
        <v>3300</v>
      </c>
      <c r="B2683" s="6" t="e">
        <v>#N/A</v>
      </c>
      <c r="C2683" s="2" t="e">
        <v>#N/A</v>
      </c>
      <c r="D2683" s="4">
        <v>1338.8019999999999</v>
      </c>
      <c r="E2683" s="4">
        <v>1338.8019999999999</v>
      </c>
    </row>
    <row r="2684" spans="1:5" x14ac:dyDescent="0.35">
      <c r="A2684" s="2" t="s">
        <v>3301</v>
      </c>
      <c r="B2684" s="6" t="e">
        <v>#N/A</v>
      </c>
      <c r="C2684" s="2" t="e">
        <v>#N/A</v>
      </c>
      <c r="D2684" s="4">
        <v>22.75</v>
      </c>
      <c r="E2684" s="4">
        <v>22.75</v>
      </c>
    </row>
    <row r="2685" spans="1:5" x14ac:dyDescent="0.35">
      <c r="A2685" s="2" t="s">
        <v>3302</v>
      </c>
      <c r="B2685" s="6" t="e">
        <v>#N/A</v>
      </c>
      <c r="C2685" s="2" t="e">
        <v>#N/A</v>
      </c>
      <c r="D2685" s="4">
        <v>5537.7721000000001</v>
      </c>
      <c r="E2685" s="4">
        <v>5537.7721000000001</v>
      </c>
    </row>
    <row r="2686" spans="1:5" x14ac:dyDescent="0.35">
      <c r="A2686" s="2" t="s">
        <v>3303</v>
      </c>
      <c r="B2686" s="6" t="e">
        <v>#N/A</v>
      </c>
      <c r="C2686" s="2" t="e">
        <v>#N/A</v>
      </c>
      <c r="D2686" s="4">
        <v>5963.7546000000002</v>
      </c>
      <c r="E2686" s="4">
        <v>5963.7546000000002</v>
      </c>
    </row>
    <row r="2687" spans="1:5" x14ac:dyDescent="0.35">
      <c r="A2687" s="2" t="s">
        <v>3304</v>
      </c>
      <c r="B2687" s="6" t="e">
        <v>#N/A</v>
      </c>
      <c r="C2687" s="2" t="e">
        <v>#N/A</v>
      </c>
      <c r="D2687" s="4">
        <v>1825.6391000000001</v>
      </c>
      <c r="E2687" s="4">
        <v>1825.6391000000001</v>
      </c>
    </row>
    <row r="2688" spans="1:5" x14ac:dyDescent="0.35">
      <c r="A2688" s="2" t="s">
        <v>3305</v>
      </c>
      <c r="B2688" s="6" t="e">
        <v>#N/A</v>
      </c>
      <c r="C2688" s="2" t="e">
        <v>#N/A</v>
      </c>
      <c r="D2688" s="4">
        <v>4259.8247000000001</v>
      </c>
      <c r="E2688" s="4">
        <v>4259.8247000000001</v>
      </c>
    </row>
    <row r="2689" spans="1:6" x14ac:dyDescent="0.35">
      <c r="A2689" s="2" t="s">
        <v>3306</v>
      </c>
      <c r="B2689" s="6" t="e">
        <v>#N/A</v>
      </c>
      <c r="C2689" s="2" t="e">
        <v>#N/A</v>
      </c>
      <c r="D2689" s="4">
        <v>1338.8019999999999</v>
      </c>
      <c r="E2689" s="4">
        <v>1338.8019999999999</v>
      </c>
    </row>
    <row r="2690" spans="1:6" x14ac:dyDescent="0.35">
      <c r="A2690" s="2" t="s">
        <v>3307</v>
      </c>
      <c r="B2690" s="6" t="e">
        <v>#N/A</v>
      </c>
      <c r="C2690" s="2" t="e">
        <v>#N/A</v>
      </c>
      <c r="D2690" s="4">
        <v>912.81949999999995</v>
      </c>
      <c r="E2690" s="4">
        <v>912.81949999999995</v>
      </c>
    </row>
    <row r="2691" spans="1:6" x14ac:dyDescent="0.35">
      <c r="A2691" s="2" t="s">
        <v>3308</v>
      </c>
      <c r="B2691" s="6" t="e">
        <v>#N/A</v>
      </c>
      <c r="C2691" s="2" t="e">
        <v>#N/A</v>
      </c>
      <c r="D2691" s="4">
        <v>1</v>
      </c>
      <c r="E2691" s="4">
        <v>1</v>
      </c>
    </row>
    <row r="2692" spans="1:6" x14ac:dyDescent="0.35">
      <c r="A2692" s="2" t="s">
        <v>3309</v>
      </c>
      <c r="B2692" s="6" t="e">
        <v>#N/A</v>
      </c>
      <c r="C2692" s="2" t="e">
        <v>#N/A</v>
      </c>
      <c r="D2692" s="4">
        <v>1</v>
      </c>
      <c r="E2692" s="4">
        <v>1</v>
      </c>
    </row>
    <row r="2693" spans="1:6" x14ac:dyDescent="0.35">
      <c r="A2693" s="2" t="s">
        <v>3310</v>
      </c>
      <c r="B2693" s="6" t="e">
        <v>#N/A</v>
      </c>
      <c r="C2693" s="2" t="e">
        <v>#N/A</v>
      </c>
      <c r="D2693" s="4">
        <v>1</v>
      </c>
      <c r="E2693" s="4">
        <v>1</v>
      </c>
    </row>
    <row r="2694" spans="1:6" x14ac:dyDescent="0.35">
      <c r="A2694" s="2" t="s">
        <v>3311</v>
      </c>
      <c r="B2694" s="6" t="e">
        <v>#N/A</v>
      </c>
      <c r="C2694" s="2" t="e">
        <v>#N/A</v>
      </c>
      <c r="D2694" s="4">
        <v>3</v>
      </c>
      <c r="E2694" s="4">
        <v>3</v>
      </c>
    </row>
    <row r="2695" spans="1:6" x14ac:dyDescent="0.35">
      <c r="A2695" s="2" t="s">
        <v>3312</v>
      </c>
      <c r="B2695" s="6" t="e">
        <v>#N/A</v>
      </c>
      <c r="C2695" s="2" t="e">
        <v>#N/A</v>
      </c>
      <c r="D2695" s="4">
        <v>2</v>
      </c>
      <c r="E2695" s="4">
        <v>2</v>
      </c>
    </row>
    <row r="2696" spans="1:6" x14ac:dyDescent="0.35">
      <c r="A2696" s="2" t="s">
        <v>3313</v>
      </c>
      <c r="B2696" s="6" t="e">
        <v>#N/A</v>
      </c>
      <c r="C2696" s="2" t="e">
        <v>#N/A</v>
      </c>
      <c r="D2696" s="4">
        <v>3</v>
      </c>
      <c r="E2696" s="4">
        <v>3</v>
      </c>
    </row>
    <row r="2697" spans="1:6" x14ac:dyDescent="0.35">
      <c r="A2697" s="2" t="s">
        <v>3314</v>
      </c>
      <c r="B2697" s="6" t="e">
        <v>#N/A</v>
      </c>
      <c r="C2697" s="2" t="e">
        <v>#N/A</v>
      </c>
      <c r="D2697" s="4">
        <v>1</v>
      </c>
      <c r="E2697" s="4">
        <v>1</v>
      </c>
    </row>
    <row r="2698" spans="1:6" x14ac:dyDescent="0.35">
      <c r="A2698" s="2" t="s">
        <v>3315</v>
      </c>
      <c r="B2698" s="6" t="e">
        <v>#N/A</v>
      </c>
      <c r="C2698" s="2" t="e">
        <v>#N/A</v>
      </c>
      <c r="D2698" s="4">
        <v>2008.203</v>
      </c>
      <c r="E2698" s="4">
        <v>2008.203</v>
      </c>
    </row>
    <row r="2699" spans="1:6" x14ac:dyDescent="0.35">
      <c r="A2699" s="2" t="s">
        <v>3316</v>
      </c>
      <c r="B2699" s="6" t="e">
        <v>#N/A</v>
      </c>
      <c r="C2699" s="2" t="e">
        <v>#N/A</v>
      </c>
      <c r="D2699" s="4">
        <v>547.69169999999997</v>
      </c>
      <c r="E2699" s="4">
        <v>547.69169999999997</v>
      </c>
    </row>
    <row r="2700" spans="1:6" x14ac:dyDescent="0.35">
      <c r="A2700" s="2" t="s">
        <v>3317</v>
      </c>
      <c r="B2700" s="6" t="e">
        <v>#N/A</v>
      </c>
      <c r="C2700" s="2" t="e">
        <v>#N/A</v>
      </c>
      <c r="D2700" s="4">
        <v>365.12779999999998</v>
      </c>
      <c r="E2700" s="4">
        <v>365.12779999999998</v>
      </c>
    </row>
    <row r="2701" spans="1:6" x14ac:dyDescent="0.35">
      <c r="A2701" s="2" t="s">
        <v>3318</v>
      </c>
      <c r="B2701" s="6" t="e">
        <v>#N/A</v>
      </c>
      <c r="C2701" s="2" t="e">
        <v>#N/A</v>
      </c>
      <c r="D2701" s="4">
        <v>300</v>
      </c>
      <c r="E2701" s="4">
        <v>300</v>
      </c>
    </row>
    <row r="2702" spans="1:6" x14ac:dyDescent="0.35">
      <c r="A2702" s="2" t="s">
        <v>3319</v>
      </c>
      <c r="B2702" s="6" t="s">
        <v>2594</v>
      </c>
      <c r="C2702" s="2" t="s">
        <v>461</v>
      </c>
      <c r="D2702" s="4">
        <v>1.9330099999999999</v>
      </c>
      <c r="E2702" s="4">
        <v>0.76058999999999999</v>
      </c>
      <c r="F2702" s="4">
        <v>2.9950000000000001E-2</v>
      </c>
    </row>
    <row r="2703" spans="1:6" x14ac:dyDescent="0.35">
      <c r="A2703" s="2" t="s">
        <v>3320</v>
      </c>
      <c r="B2703" s="6" t="s">
        <v>2594</v>
      </c>
      <c r="C2703" s="2" t="s">
        <v>461</v>
      </c>
      <c r="D2703" s="4">
        <v>2.1054300000000001</v>
      </c>
      <c r="E2703" s="4">
        <v>0.93732000000000004</v>
      </c>
      <c r="F2703" s="4">
        <v>3.2809999999999999E-2</v>
      </c>
    </row>
    <row r="2704" spans="1:6" x14ac:dyDescent="0.35">
      <c r="A2704" s="2" t="s">
        <v>400</v>
      </c>
      <c r="B2704" s="6" t="s">
        <v>3321</v>
      </c>
      <c r="C2704" s="2" t="s">
        <v>505</v>
      </c>
      <c r="D2704" s="4">
        <v>23.1569771581289</v>
      </c>
      <c r="E2704" s="4">
        <v>18.283012284896898</v>
      </c>
      <c r="F2704" s="4">
        <v>2.48203892639527</v>
      </c>
    </row>
    <row r="2705" spans="1:6" x14ac:dyDescent="0.35">
      <c r="A2705" s="2" t="s">
        <v>3322</v>
      </c>
      <c r="B2705" s="6" t="s">
        <v>3323</v>
      </c>
      <c r="C2705" s="2" t="s">
        <v>505</v>
      </c>
      <c r="D2705" s="4">
        <v>23.1569771581289</v>
      </c>
      <c r="E2705" s="4">
        <v>18.283012284896898</v>
      </c>
      <c r="F2705" s="4">
        <v>2.48203892639527</v>
      </c>
    </row>
    <row r="2706" spans="1:6" x14ac:dyDescent="0.35">
      <c r="A2706" s="2" t="s">
        <v>3324</v>
      </c>
      <c r="B2706" s="6" t="s">
        <v>3325</v>
      </c>
      <c r="C2706" s="2" t="s">
        <v>505</v>
      </c>
      <c r="D2706" s="4">
        <v>10503.828159999999</v>
      </c>
      <c r="E2706" s="4">
        <v>8293.0348799999992</v>
      </c>
      <c r="F2706" s="4">
        <v>1125.83392</v>
      </c>
    </row>
    <row r="2707" spans="1:6" x14ac:dyDescent="0.35">
      <c r="A2707" s="2" t="s">
        <v>403</v>
      </c>
      <c r="B2707" s="6" t="s">
        <v>3326</v>
      </c>
      <c r="C2707" s="2" t="s">
        <v>505</v>
      </c>
      <c r="D2707" s="4">
        <v>23.1569771581289</v>
      </c>
      <c r="E2707" s="4">
        <v>18.283012284896898</v>
      </c>
      <c r="F2707" s="4">
        <v>2.48203892639527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E1390-3BED-4BE1-A35C-F802AE3A1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Amorntep Matsarat</dc:creator>
  <cp:lastModifiedBy>Amorntep Matsarat</cp:lastModifiedBy>
  <dcterms:created xsi:type="dcterms:W3CDTF">2026-07-17T08:42:06Z</dcterms:created>
  <dcterms:modified xsi:type="dcterms:W3CDTF">2026-08-06T02:42:37Z</dcterms:modified>
</cp:coreProperties>
</file>